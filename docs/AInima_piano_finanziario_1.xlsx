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nzioni" sheetId="1" state="visible" r:id="rId3"/>
    <sheet name="Piano Mensile" sheetId="2" state="visible" r:id="rId4"/>
    <sheet name="Sintesi" sheetId="3" state="visible" r:id="rId5"/>
    <sheet name="Note e Fonti" sheetId="4" state="visible" r:id="rId6"/>
    <sheet name="Costituzione Società"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<sst xmlns="http://schemas.openxmlformats.org/spreadsheetml/2006/main" count="279" uniqueCount="278">
  <si>
    <t xml:space="preserve">AInima — Assunzioni del Piano Finanziario</t>
  </si>
  <si>
    <t xml:space="preserve">Tutte le celle blu sono ipotesi modificabili. Le formule nelle altre schede si aggiornano automaticamente.</t>
  </si>
  <si>
    <t xml:space="preserve">Parametri generali</t>
  </si>
  <si>
    <t xml:space="preserve">Capitale iniziale disponibile (€)</t>
  </si>
  <si>
    <t xml:space="preserve">Investimento personale dichiarato</t>
  </si>
  <si>
    <t xml:space="preserve">Prezzo per utente per match confermato (€)</t>
  </si>
  <si>
    <t xml:space="preserve">AGGIORNATO a 20€ (era 15€): a 15€ il netto reale del primo anno in regime forfettario risultava negativo (-598€) una volta inclusi imposta sostitutiva, INPS su base presunta e commercialista. A 20€ il margine reale (36%) si allontana a sufficienza dal coefficiente presunto forfettario (78%) da restare positivo (+1.867€ netto anno 1). Contropartita: il passaggio a SRL diventa necessario prima (vedi assunzione dedicata), perché il fatturato anno 2 supera più rapidamente la soglia forfettario di 85.000€.</t>
  </si>
  <si>
    <t xml:space="preserve">Riserva di cassa minima da mantenere (€)</t>
  </si>
  <si>
    <t xml:space="preserve">Buffer di sicurezza: sotto questa soglia si sospende la pubblicità</t>
  </si>
  <si>
    <t xml:space="preserve">Commissioni di incasso pagamenti (% sui ricavi)</t>
  </si>
  <si>
    <t xml:space="preserve">Stima Stripe: 1.5% + 0.25€/transazione su ticket da 10€</t>
  </si>
  <si>
    <t xml:space="preserve">Crescita utenti — Milano</t>
  </si>
  <si>
    <t xml:space="preserve">Iscritti organici al mese 0 (promozione volontaria)</t>
  </si>
  <si>
    <t xml:space="preserve">RIVISTO: 2 canali. (1) Metro+quartieri mirati: ~1.300 volantini/mese, conversione 0,4% (pubblico freddo) = ~5/mese. (2) Feste sudamericane: assunzione 2 eventi/mese x ~40 volantini mirati/evento, conversione 6% (contesto sociale/conversazionale) = ~5/mese. Totale ~10/mese. Da affinare con la frequenza reale degli eventi.</t>
  </si>
  <si>
    <t xml:space="preserve">Crescita mensile iscritti organici Milano (%)</t>
  </si>
  <si>
    <t xml:space="preserve">Effetto passaparola/referral crescente</t>
  </si>
  <si>
    <t xml:space="preserve">CAC pubblicitario Milano (€/iscritto)</t>
  </si>
  <si>
    <t xml:space="preserve">Google Ads su keyword ad alta intenzione — DA VALIDARE con test reale</t>
  </si>
  <si>
    <t xml:space="preserve">Budget mensile servizio di distribuzione mirata (€)</t>
  </si>
  <si>
    <t xml:space="preserve">Servizio di volantinaggio a pagamento MIRATO su luoghi ad alta conversione (palestre, coworking, zone business) — non la metro fredda. ~90-120€/sessione, 1.500-2.000 volantini, conversione 2-3% (contesto scelto, non casuale).</t>
  </si>
  <si>
    <t xml:space="preserve">CAC servizio di distribuzione mirata (€/iscritto)</t>
  </si>
  <si>
    <t xml:space="preserve">Stima: 100€/sessione, ~1.700 volantini, conversione ~2,5% su luoghi mirati = 100/(1700x0,025) = ~2,3€; teniamo 4€ come margine prudenziale, comunque molto meglio di Google Ads (8€).</t>
  </si>
  <si>
    <t xml:space="preserve">Mese di lancio di questo canale</t>
  </si>
  <si>
    <t xml:space="preserve">Parte da M1, un mese dopo l'avvio, per dare tempo di scegliere i luoghi migliori</t>
  </si>
  <si>
    <t xml:space="preserve">Mese di lancio del matching a Milano</t>
  </si>
  <si>
    <t xml:space="preserve">Dopo aver raggiunto una massa critica di iscritti bilanciata M/F</t>
  </si>
  <si>
    <t xml:space="preserve">Crescita utenti — Dubai</t>
  </si>
  <si>
    <t xml:space="preserve">Mese di lancio Dubai</t>
  </si>
  <si>
    <t xml:space="preserve">Danae inizia la promozione locale</t>
  </si>
  <si>
    <t xml:space="preserve">Iscritti organici al mese di lancio (promozione volontaria)</t>
  </si>
  <si>
    <t xml:space="preserve">Volantinaggio/eventi locali gestiti da Danae</t>
  </si>
  <si>
    <t xml:space="preserve">Crescita mensile iscritti organici Dubai (%)</t>
  </si>
  <si>
    <t xml:space="preserve">Mercato più recettivo al matchmaking strutturato</t>
  </si>
  <si>
    <t xml:space="preserve">CAC pubblicitario Dubai (€/iscritto)</t>
  </si>
  <si>
    <t xml:space="preserve">Stima prudenziale — DA VALIDARE con test reale</t>
  </si>
  <si>
    <t xml:space="preserve">Mese di lancio del matching a Dubai</t>
  </si>
  <si>
    <t xml:space="preserve">Dopo massa critica locale</t>
  </si>
  <si>
    <t xml:space="preserve">Conversione in ricavi</t>
  </si>
  <si>
    <t xml:space="preserve">Quota iscritti 'attivi' nel matching (%)</t>
  </si>
  <si>
    <t xml:space="preserve">Il resto è in attesa/incompleto/inattivo</t>
  </si>
  <si>
    <t xml:space="preserve">Tasso di conferma match iniziale (%/mese)</t>
  </si>
  <si>
    <t xml:space="preserve">Quota di utenti attivi che ogni mese confermano un match pagante — cold start</t>
  </si>
  <si>
    <t xml:space="preserve">Tasso di conferma match a regime (%/mese)</t>
  </si>
  <si>
    <t xml:space="preserve">Una volta che il database è maturo e bilanciato</t>
  </si>
  <si>
    <t xml:space="preserve">Mesi di ramp-up per raggiungere il tasso a regime</t>
  </si>
  <si>
    <t xml:space="preserve">Ramp lineare</t>
  </si>
  <si>
    <t xml:space="preserve">Tasso di abbandono mensile del pool di ricerca (%)</t>
  </si>
  <si>
    <t xml:space="preserve">AGGIORNATO (ottimistico): dato che anche chi ha una relazione stabile può richiedere nuovi abbinamenti (rubrica), l'abbandono reale è solo chi si stufa della piattaforma o cambia vita — quota più piccola del 4% iniziale.</t>
  </si>
  <si>
    <t xml:space="preserve">Soglia utenti attivi per aumentare la frequenza di abbinamento</t>
  </si>
  <si>
    <t xml:space="preserve">Il vincolo di 1 proposta/mese è elastico, non tecnico: serve a far crescere il DB senza esaurirlo. Superata questa soglia di utenti attivi (~M11-M12 nello scenario base) si può aumentare la frequenza.</t>
  </si>
  <si>
    <t xml:space="preserve">Moltiplicatore frequenza abbinamenti dopo la soglia</t>
  </si>
  <si>
    <t xml:space="preserve">Es. 2 = da 1 a 2 proposte/mese per utente in ricerca, raddoppiando il potenziale di ricavo per utente attivo. Modificabile: prova anche 1,5 o 3 per vedere l'impatto.</t>
  </si>
  <si>
    <t xml:space="preserve">Sconto di conferma sulle proposte aggiuntive oltre la prima (%)</t>
  </si>
  <si>
    <t xml:space="preserve">La 2a+ proposta nello stesso mese è il candidato successivo nel ranking, quindi mediamente meno compatibile: confermata con probabilità ridotta rispetto alla 1a. 35% = la 2a proposta converte al 65% del tasso della prima.</t>
  </si>
  <si>
    <t xml:space="preserve">Costi IT</t>
  </si>
  <si>
    <t xml:space="preserve">Claude Code (€/mese)</t>
  </si>
  <si>
    <t xml:space="preserve">Come indicato da te</t>
  </si>
  <si>
    <t xml:space="preserve">Hosting Web MVP (€/mese)</t>
  </si>
  <si>
    <t xml:space="preserve">VPS piccolo (es. Hetzner/DigitalOcean) — stima</t>
  </si>
  <si>
    <t xml:space="preserve">Hosting dopo lancio App Mobile (€/mese)</t>
  </si>
  <si>
    <t xml:space="preserve">Backend più robusto per servire anche le app</t>
  </si>
  <si>
    <t xml:space="preserve">Mese di avvio sviluppo App Mobile</t>
  </si>
  <si>
    <t xml:space="preserve">Dopo validazione del modello sul web</t>
  </si>
  <si>
    <t xml:space="preserve">Costo unitario stimato API LLM per utente attivo (€/utente/mese)</t>
  </si>
  <si>
    <t xml:space="preserve">Claude Haiku 4.5, $1/$5 per MTok — profilazione + report + analisi mensile</t>
  </si>
  <si>
    <t xml:space="preserve">Costo dominio .com (una tantum, €)</t>
  </si>
  <si>
    <t xml:space="preserve">Registrazione annuale tipica</t>
  </si>
  <si>
    <t xml:space="preserve">Apple Developer Program (una tantum, €/anno)</t>
  </si>
  <si>
    <t xml:space="preserve">Necessario per pubblicare su App Store</t>
  </si>
  <si>
    <t xml:space="preserve">Google Play Console (una tantum, €)</t>
  </si>
  <si>
    <t xml:space="preserve">Costo di attivazione singolo</t>
  </si>
  <si>
    <t xml:space="preserve">Soglia iscritti per passare a piano mailing a pagamento</t>
  </si>
  <si>
    <t xml:space="preserve">Brevo free fino a 9.000 email/mese: con newsletter settimanale regge fino a ~2.000 iscritti</t>
  </si>
  <si>
    <t xml:space="preserve">Costo mailing tool a pagamento oltre soglia (€/mese)</t>
  </si>
  <si>
    <t xml:space="preserve">Piano Starter/Standard Brevo</t>
  </si>
  <si>
    <t xml:space="preserve">Costi marketing &amp; eventi</t>
  </si>
  <si>
    <t xml:space="preserve">Budget iniziale materiali promozionali (una tantum, €)</t>
  </si>
  <si>
    <t xml:space="preserve">Lotto di lancio: ~1.000 volantini A6 f/r a colori per città (~18€/1000 online, es. Stampafast) + margine per grafica/varie</t>
  </si>
  <si>
    <t xml:space="preserve">Costo ricorrente ristampa materiali promozionali (€/mese, Milano+Dubai)</t>
  </si>
  <si>
    <t xml:space="preserve">~2.000 volantini/mese complessivi (1.000 a testa) a ~18-20€/1000 online, applicato da M1 in poi finché dura la fase di volantinaggio attivo</t>
  </si>
  <si>
    <t xml:space="preserve">Budget ads baseline mensile totale (€)</t>
  </si>
  <si>
    <t xml:space="preserve">Spesa minima pubblicitaria mensile pianificata</t>
  </si>
  <si>
    <t xml:space="preserve">Quota di reinvestimento ricavi mese precedente in advertising (%)</t>
  </si>
  <si>
    <t xml:space="preserve">Regola di autofinanziamento della crescita</t>
  </si>
  <si>
    <t xml:space="preserve">Costo evento Founding Members Milano (€, mese 3)</t>
  </si>
  <si>
    <t xml:space="preserve">Piccolo evento di lancio/networking</t>
  </si>
  <si>
    <t xml:space="preserve">Costo evento Founding Members Dubai (€, mese 6)</t>
  </si>
  <si>
    <t xml:space="preserve">Quota budget ads su Milano quando Dubai è attivo (%)</t>
  </si>
  <si>
    <t xml:space="preserve">Il resto va a Dubai</t>
  </si>
  <si>
    <t xml:space="preserve">Costi societari / commercialista</t>
  </si>
  <si>
    <t xml:space="preserve">Costo commercialista in regime forfettario (€/mese)</t>
  </si>
  <si>
    <t xml:space="preserve">~600€/anno: non obbligatorio nel forfettario ma tipico, per gestione fatture/dichiarazione annuale</t>
  </si>
  <si>
    <t xml:space="preserve">Mese stimato di passaggio a SRL</t>
  </si>
  <si>
    <t xml:space="preserve">A 20€ il fatturato cumulato dell'anno 2 supera 85.000€ verso M20 — il mese 18 lascia un margine di sicurezza di un paio di mesi per organizzare la costituzione con calma, come discusso. Ricalibrare se cambi prezzo o crescita (vedi foglio Costituzione Società per il dettaglio anno per anno)</t>
  </si>
  <si>
    <t xml:space="preserve">Costo una tantum costituzione SRL (notaio + commercialista)</t>
  </si>
  <si>
    <t xml:space="preserve">Coerente col foglio Costituzione Società</t>
  </si>
  <si>
    <t xml:space="preserve">Costi fissi annui gestione SRL post-passaggio (€/anno)</t>
  </si>
  <si>
    <t xml:space="preserve">CCIAA, PEC, commercialista, INPS minimi — coerente col foglio Costituzione Società</t>
  </si>
  <si>
    <t xml:space="preserve">AInima — Piano Mensile (24 mesi)</t>
  </si>
  <si>
    <t xml:space="preserve">Indice mese (numero)</t>
  </si>
  <si>
    <t xml:space="preserve">Mese</t>
  </si>
  <si>
    <t xml:space="preserve">CRESCITA UTENTI</t>
  </si>
  <si>
    <t xml:space="preserve">Nuovi iscritti Milano — organici (tuo tempo personale)</t>
  </si>
  <si>
    <t xml:space="preserve">Nuovi iscritti Milano — servizio distribuzione mirata (a pagamento)</t>
  </si>
  <si>
    <t xml:space="preserve">Nuovi iscritti Milano — da Google Ads</t>
  </si>
  <si>
    <t xml:space="preserve">Nuovi iscritti Dubai — organici</t>
  </si>
  <si>
    <t xml:space="preserve">Nuovi iscritti Dubai — da advertising</t>
  </si>
  <si>
    <t xml:space="preserve">Totale nuovi iscritti</t>
  </si>
  <si>
    <t xml:space="preserve">Iscritti cumulati Milano</t>
  </si>
  <si>
    <t xml:space="preserve">Iscritti cumulati Dubai</t>
  </si>
  <si>
    <t xml:space="preserve">Iscritti cumulati Totale</t>
  </si>
  <si>
    <t xml:space="preserve">Utenti attivi nel matching — Milano</t>
  </si>
  <si>
    <t xml:space="preserve">Utenti attivi nel matching — Dubai</t>
  </si>
  <si>
    <t xml:space="preserve">Utenti attivi nel matching — Totale</t>
  </si>
  <si>
    <t xml:space="preserve">— di cui usciti dalla ricerca (abbandono cumulato, non per match)</t>
  </si>
  <si>
    <t xml:space="preserve">Utenti ancora in ricerca attiva (pool disponibile)</t>
  </si>
  <si>
    <t xml:space="preserve">RICAVI</t>
  </si>
  <si>
    <t xml:space="preserve">Tasso di conferma match (%/mese, su chi è in ricerca)</t>
  </si>
  <si>
    <t xml:space="preserve">Moltiplicatore frequenza (1x finché il DB è piccolo, poi aumenta)</t>
  </si>
  <si>
    <t xml:space="preserve">Nuovi utenti con match confermato nel mese</t>
  </si>
  <si>
    <t xml:space="preserve">Ricavi da match confermati (€)</t>
  </si>
  <si>
    <t xml:space="preserve">COSTI IT</t>
  </si>
  <si>
    <t xml:space="preserve">Claude Code</t>
  </si>
  <si>
    <t xml:space="preserve">Hosting</t>
  </si>
  <si>
    <t xml:space="preserve">Costi API LLM (variabile su utenti attivi)</t>
  </si>
  <si>
    <t xml:space="preserve">Mailing tool</t>
  </si>
  <si>
    <t xml:space="preserve">Dominio (una tantum)</t>
  </si>
  <si>
    <t xml:space="preserve">Store fee App Mobile (una tantum)</t>
  </si>
  <si>
    <t xml:space="preserve">Totale Costi IT</t>
  </si>
  <si>
    <t xml:space="preserve">COSTI SOCIETARI / COMMERCIALISTA</t>
  </si>
  <si>
    <t xml:space="preserve">Commercialista (forfettario) / gestione SRL</t>
  </si>
  <si>
    <t xml:space="preserve">Costituzione SRL (una tantum, al mese del passaggio)</t>
  </si>
  <si>
    <t xml:space="preserve">Totale Costi Societari</t>
  </si>
  <si>
    <t xml:space="preserve">COSTI MARKETING &amp; EVENTI</t>
  </si>
  <si>
    <t xml:space="preserve">Materiali promozionali — lotto iniziale (una tantum)</t>
  </si>
  <si>
    <t xml:space="preserve">Materiali promozionali — ristampe (ricorrente da M1)</t>
  </si>
  <si>
    <t xml:space="preserve">Servizio distribuzione mirata Milano (ricorrente)</t>
  </si>
  <si>
    <t xml:space="preserve">Budget Ads totale (calcolato, capped da cassa)</t>
  </si>
  <si>
    <t xml:space="preserve">— di cui Spesa Ads Milano</t>
  </si>
  <si>
    <t xml:space="preserve">— di cui Spesa Ads Dubai</t>
  </si>
  <si>
    <t xml:space="preserve">Costi eventi Founding Members</t>
  </si>
  <si>
    <t xml:space="preserve">Totale Marketing &amp; Eventi</t>
  </si>
  <si>
    <t xml:space="preserve">COSTI FINANZIARI</t>
  </si>
  <si>
    <t xml:space="preserve">Commissioni di incasso pagamenti</t>
  </si>
  <si>
    <t xml:space="preserve">CONTO ECONOMICO</t>
  </si>
  <si>
    <t xml:space="preserve">Totale Ricavi</t>
  </si>
  <si>
    <t xml:space="preserve">Totale Costi</t>
  </si>
  <si>
    <t xml:space="preserve">Utile / Perdita mensile</t>
  </si>
  <si>
    <t xml:space="preserve">Cassa disponibile inizio mese</t>
  </si>
  <si>
    <t xml:space="preserve">Cassa disponibile fine mese (cumulata)</t>
  </si>
  <si>
    <t xml:space="preserve">Flag: primo mese con utile positivo</t>
  </si>
  <si>
    <t xml:space="preserve">AInima — Sintesi &amp; Break-Even</t>
  </si>
  <si>
    <t xml:space="preserve">PUNTO DI PAREGGIO (BREAK-EVEN)</t>
  </si>
  <si>
    <t xml:space="preserve">Primo mese con utile mensile positivo</t>
  </si>
  <si>
    <t xml:space="preserve">Ricavi in quel mese</t>
  </si>
  <si>
    <t xml:space="preserve">Iscritti totali in quel mese</t>
  </si>
  <si>
    <t xml:space="preserve">CASSA</t>
  </si>
  <si>
    <t xml:space="preserve">Cassa minima toccata nei 24 mesi (punto più critico)</t>
  </si>
  <si>
    <t xml:space="preserve">Mese in cui si tocca il minimo</t>
  </si>
  <si>
    <t xml:space="preserve">Cassa disponibile a fine M11 (1 anno)</t>
  </si>
  <si>
    <t xml:space="preserve">Cassa disponibile a fine M23 (2 anni)</t>
  </si>
  <si>
    <t xml:space="preserve">REDDITIVITÀ</t>
  </si>
  <si>
    <t xml:space="preserve">Ricavi cumulati primi 12 mesi (M0-M11)</t>
  </si>
  <si>
    <t xml:space="preserve">Ricavi cumulati 24 mesi</t>
  </si>
  <si>
    <t xml:space="preserve">Utile/Perdita cumulato primi 12 mesi</t>
  </si>
  <si>
    <t xml:space="preserve">Utile/Perdita cumulato 24 mesi</t>
  </si>
  <si>
    <t xml:space="preserve">Utile mensile a regime (M23)</t>
  </si>
  <si>
    <t xml:space="preserve">Margine % sui ricavi a M23</t>
  </si>
  <si>
    <t xml:space="preserve">UTENTI E DATABASE</t>
  </si>
  <si>
    <t xml:space="preserve">Iscritti totali a fine M11 (1 anno)</t>
  </si>
  <si>
    <t xml:space="preserve">Iscritti totali a fine M23 (2 anni)</t>
  </si>
  <si>
    <t xml:space="preserve">Utenti attivi a M23</t>
  </si>
  <si>
    <t xml:space="preserve">INVESTIMENTO TOTALE PER CATEGORIA (24 mesi)</t>
  </si>
  <si>
    <t xml:space="preserve">Costi IT totali</t>
  </si>
  <si>
    <t xml:space="preserve">Costi Marketing &amp; Eventi totali</t>
  </si>
  <si>
    <t xml:space="preserve">Commissioni di pagamento totali</t>
  </si>
  <si>
    <t xml:space="preserve">Nota: tutti i valori sono calcolati dalle formule del foglio 'Piano Mensile', che a sua volta dipende interamente dalle ipotesi nel foglio 'Assunzioni'. Cambia i numeri blu in 'Assunzioni' per testare scenari diversi (es. CAC più alto, tasso di conferma più basso, budget iniziale diverso).</t>
  </si>
  <si>
    <t xml:space="preserve">Note metodologiche e fonti</t>
  </si>
  <si>
    <t xml:space="preserve">COME LEGGERE IL MODELLO</t>
  </si>
  <si>
    <t xml:space="preserve">Il modello è composto da 4 fogli: Assunzioni (input, celle blu/gialle), Piano Mensile (calcolo mese per mese da M0 a M23),</t>
  </si>
  <si>
    <t xml:space="preserve">Sintesi (KPI e break-even) e questo foglio di note. Cambiando un valore in 'Assunzioni' tutto il piano si ricalcola.</t>
  </si>
  <si>
    <t xml:space="preserve">PRINCIPALI SEMPLIFICAZIONI DEL MODELLO</t>
  </si>
  <si>
    <t xml:space="preserve">• Il prezzo di 10€ per 'match confermato' è addebitato a ciascuno dei due utenti coinvolti (10€ x 2 = 20€ per coppia formata).</t>
  </si>
  <si>
    <t xml:space="preserve">• FUNNEL: ogni mese le proposte si applicano solo agli utenti 'in ricerca attiva' (attivi totali meno chi ha abbandonato</t>
  </si>
  <si>
    <t xml:space="preserve">  la ricerca). Un match confermato NON fa uscire l'utente dal pool — resta disponibile per altre proposte in futuro,</t>
  </si>
  <si>
    <t xml:space="preserve">  come una rubrica di contatti che si arricchisce nel tempo. Solo un tasso di ABBANDONO generale (chi lascia per</t>
  </si>
  <si>
    <t xml:space="preserve">  qualsiasi motivo: relazione stabile trovata altrove, rinuncia) riduce il pool, indipendentemente dai match confermati.</t>
  </si>
  <si>
    <t xml:space="preserve">• FREQUENZA DI ABBINAMENTO ELASTICA: il vincolo di '1 proposta al mese' non è un limite tecnico ma una scelta di prodotto</t>
  </si>
  <si>
    <t xml:space="preserve">  per far crescere il database senza esaurirlo. Il vero limite alla frequenza non è 'finire le persone' ma il ranking:</t>
  </si>
  <si>
    <t xml:space="preserve">  la seconda proposta nello stesso mese è per definizione il secondo candidato più compatibile disponibile, quindi</t>
  </si>
  <si>
    <t xml:space="preserve">  mediamente meno azzeccata della prima — motivo per cui conviene aumentare la frequenza gradualmente, non di colpo.</t>
  </si>
  <si>
    <t xml:space="preserve">  Nel modello, superata una soglia di utenti attivi (500, di norma raggiunta verso M11-M12 nello scenario base),</t>
  </si>
  <si>
    <t xml:space="preserve">  la frequenza raddoppia (moltiplicatore configurabile), aumentando il potenziale di ricavo per utente attivo.</t>
  </si>
  <si>
    <t xml:space="preserve">• Il tasso di conferma segue comunque una curva di ramp-up unica da 5% a 15% in 9 mesi per Milano+Dubai insieme:</t>
  </si>
  <si>
    <t xml:space="preserve">  è una semplificazione, nella realtà Dubai partirà probabilmente più indietro sulla curva.</t>
  </si>
  <si>
    <t xml:space="preserve">• Il budget pubblicitario mensile è calcolato come: baseline (200€) + 30% dei ricavi del mese precedente, con un tetto</t>
  </si>
  <si>
    <t xml:space="preserve">  pari alla cassa disponibile meno una riserva di sicurezza di 300€. Il sistema quindi non può mai andare in cassa negativa:</t>
  </si>
  <si>
    <t xml:space="preserve">  se i ricavi non arrivano, la spesa pubblicitaria si riduce automaticamente.</t>
  </si>
  <si>
    <t xml:space="preserve">• I costi variabili LLM (riga Costi API) sono calcolati su tutti gli utenti attivi (non solo il pool in ricerca), perché</t>
  </si>
  <si>
    <t xml:space="preserve">  anche chi ha già un match confermato continua a generare traffico/contenuti (newsletter, eventuale nuovo giro di ricerca).</t>
  </si>
  <si>
    <t xml:space="preserve">• I costi di sviluppo (il tuo tempo) non sono valorizzati economicamente: il modello assume che tu sviluppi personalmente</t>
  </si>
  <si>
    <t xml:space="preserve">  sia il web MVP sia, in seguito, l'app mobile, usando Claude Code come costo verificabile in bolletta (25€/mese).</t>
  </si>
  <si>
    <t xml:space="preserve">• Non è previsto alcun costo del personale: il matching è automatizzato e la promozione locale è volontaria (tu e Danae).</t>
  </si>
  <si>
    <t xml:space="preserve">IPOTESI DA VALIDARE CON PRIORITÀ (hanno il maggiore impatto sul risultato)</t>
  </si>
  <si>
    <t xml:space="preserve">1. CAC pubblicitario (8€ Milano, 10€ Dubai): è una stima ragionevole per keyword ad alta intenzione ma va testata con</t>
  </si>
  <si>
    <t xml:space="preserve">   una prima campagna di 200-300€ prima di impegnare budget maggiori.</t>
  </si>
  <si>
    <t xml:space="preserve">2. Tasso di conferma match (5% -&gt; 15%): è l'ipotesi più incerta del modello. Se risultasse la metà, il break-even</t>
  </si>
  <si>
    <t xml:space="preserve">   slitta significativamente: consiglio di ricalcolare lo scenario appena avrai i primi dati reali (anche dopo 2-3 mesi).</t>
  </si>
  <si>
    <t xml:space="preserve">3. Crescita organica via volantinaggio personale (8/mese a Milano, rivisto): calcolata su un vincolo di tempo reale</t>
  </si>
  <si>
    <t xml:space="preserve">   (1 giorno/settimana in metro, ~300 volantini/sessione, conversione 0,3% su pubblico freddo non mirato).</t>
  </si>
  <si>
    <t xml:space="preserve">   Un servizio di volantinaggio a pagamento (~90€/giornata sul mercato milanese) è stato scartato come leva primaria:</t>
  </si>
  <si>
    <t xml:space="preserve">   il CAC implicito (~13€/iscritto) è più alto di quello di Google Ads (8€/iscritto) e senza il vincolo di tempo personale.</t>
  </si>
  <si>
    <t xml:space="preserve">   Meglio quindi lasciare il volantinaggio come canale gratuito di brand-awareness locale e spingere di più su Ads</t>
  </si>
  <si>
    <t xml:space="preserve">   se la crescita organica risultasse insufficiente rispetto al target.</t>
  </si>
  <si>
    <t xml:space="preserve">FONTI E RIFERIMENTI PER I COSTI IT</t>
  </si>
  <si>
    <t xml:space="preserve">• Claude API (modello Haiku 4.5): $1,00 / $5,00 per milione di token (input/output). Fonte: pagina prezzi ufficiale</t>
  </si>
  <si>
    <t xml:space="preserve">  Anthropic (docs.claude.com/en/docs/about-claude/pricing), verificata agosto 2026. Usato per stimare 0,05€/utente/mese</t>
  </si>
  <si>
    <t xml:space="preserve">  di costo LLM (profilazione iniziale, report periodici, analisi testuale del matching).</t>
  </si>
  <si>
    <t xml:space="preserve">• Mailing tool (Brevo): piano gratuito fino a 9.000 email/mese e 100.000 contatti; piani a pagamento da 9-25€/mese</t>
  </si>
  <si>
    <t xml:space="preserve">  oltre quella soglia. Fonte: pagina prezzi ufficiale Brevo, verificata 2026.</t>
  </si>
  <si>
    <t xml:space="preserve">• Apple Developer Program: 99 USD/anno (~95€). Google Play Console: 25 USD una tantum (~23€). Fonti: pagine</t>
  </si>
  <si>
    <t xml:space="preserve">  sviluppatori ufficiali Apple e Google.</t>
  </si>
  <si>
    <t xml:space="preserve">• Hosting: stima basata su VPS economici di fascia bassa (es. Hetzner, DigitalOcean, Render) per un'app web con</t>
  </si>
  <si>
    <t xml:space="preserve">  traffico contenuto nei primi mesi; da verificare in base allo stack tecnico che sceglierai.</t>
  </si>
  <si>
    <t xml:space="preserve">• Commissioni di pagamento: stima basata sulle tariffe standard Stripe in Europa (~1,5% + 0,25€ a transazione),</t>
  </si>
  <si>
    <t xml:space="preserve">  che su un ticket da 10€ corrisponde a circa il 4%.</t>
  </si>
  <si>
    <t xml:space="preserve">COSA NON È INCLUSO NEL MODELLO (da considerare a parte)</t>
  </si>
  <si>
    <t xml:space="preserve">• Eventuali costi legali/societari (costituzione società, consulenza fiscale, GDPR/privacy per dati sensibili come</t>
  </si>
  <si>
    <t xml:space="preserve">  stato civile, orientamento, situazione patrimoniale — particolarmente delicati per questo tipo di servizio).</t>
  </si>
  <si>
    <t xml:space="preserve">• Imposte sul reddito d'impresa: i valori mostrati sono al lordo delle imposte.</t>
  </si>
  <si>
    <t xml:space="preserve">• Un eventuale compenso per il tuo lavoro o quello di Danae: nel modello il lavoro è considerato 'gratuito' perché</t>
  </si>
  <si>
    <t xml:space="preserve">  reinvestito nell'avvio; è una scelta cosciente ma da tenere presente come costo-opportunità.</t>
  </si>
  <si>
    <t xml:space="preserve">AInima — Apertura società: Milano vs Dubai</t>
  </si>
  <si>
    <t xml:space="preserve">Stime basate su fonti pubbliche aggiornate al 2026 (vedi Note e Fonti). Non sostituiscono la consulenza di un commercialista/tax advisor locale — verificare sempre prima di procedere.</t>
  </si>
  <si>
    <t xml:space="preserve">MILANO — ITALIA</t>
  </si>
  <si>
    <t xml:space="preserve">DUBAI — EMIRATI ARABI UNITI</t>
  </si>
  <si>
    <t xml:space="preserve">Opzione A: Partita IVA — Regime Forfettario</t>
  </si>
  <si>
    <t xml:space="preserve">Free Zone company (es. IFZA/Meydan, 0-1 visto)</t>
  </si>
  <si>
    <t xml:space="preserve">Costo apertura (0€ fai-da-te, fino a ~600€ con commercialista)</t>
  </si>
  <si>
    <t xml:space="preserve">Setup iniziale free zone (licenza + registrazione, 0 visti)</t>
  </si>
  <si>
    <t xml:space="preserve">Contributi INPS Gestione Separata (% su imponibile)</t>
  </si>
  <si>
    <t xml:space="preserve">Rinnovo licenza + accounting/audit (€/anno, dal 2° anno)</t>
  </si>
  <si>
    <t xml:space="preserve">Coefficiente di redditività forfettario (verificare ATECO specifico)</t>
  </si>
  <si>
    <t xml:space="preserve">Imposta sostitutiva primi 5 anni / dal 6° anno</t>
  </si>
  <si>
    <t xml:space="preserve">5% / 15%</t>
  </si>
  <si>
    <t xml:space="preserve">Opzione B: SRL (eventualmente SRL innovativa)</t>
  </si>
  <si>
    <t xml:space="preserve">Mainland LLC (se servono clienti/contratti locali diretti)</t>
  </si>
  <si>
    <t xml:space="preserve">Notaio + commercialista costituzione (una tantum)</t>
  </si>
  <si>
    <t xml:space="preserve">Setup iniziale mainland (licenza + 1 visto + ufficio)</t>
  </si>
  <si>
    <t xml:space="preserve">Costi fissi annui gestione (CCIAA, PEC, commercialista, INPS min.)</t>
  </si>
  <si>
    <t xml:space="preserve">Rinnovo + accounting/audit + visto (€/anno)</t>
  </si>
  <si>
    <t xml:space="preserve">IRES + IRAP sull'utile</t>
  </si>
  <si>
    <t xml:space="preserve">Corporate tax UAE su utile sopra soglia AED 375.000 (~92.500€)</t>
  </si>
  <si>
    <t xml:space="preserve">Ritenuta su dividendi distribuiti ai soci</t>
  </si>
  <si>
    <t xml:space="preserve">Corporate tax sotto soglia AED 375.000</t>
  </si>
  <si>
    <t xml:space="preserve">ESEMPIO NUMERICO — sui risultati reali del Piano Mensile</t>
  </si>
  <si>
    <t xml:space="preserve">Ricavi anno 1 (M0-M11)</t>
  </si>
  <si>
    <t xml:space="preserve">Ricavi anno 2 (M12-M23)</t>
  </si>
  <si>
    <t xml:space="preserve">Utile ante imposte anno 1 (reale, costi dedotti)</t>
  </si>
  <si>
    <t xml:space="preserve">Utile ante imposte anno 2 (reale, costi dedotti)</t>
  </si>
  <si>
    <t xml:space="preserve">Forfettario — base imponibile REALE (fatturato x coefficiente, non l'utile)</t>
  </si>
  <si>
    <t xml:space="preserve">Dubai — imposta stimata anno 1 e 2 (in €, cambio indicativo 1€≈4,0 AED)</t>
  </si>
  <si>
    <t xml:space="preserve">Imponibile forfettario anno 1 (ricavi x coefficiente)</t>
  </si>
  <si>
    <t xml:space="preserve">Soglia esente (AED 375.000 ≈)</t>
  </si>
  <si>
    <t xml:space="preserve">Imposta sostitutiva anno 1 (5%)</t>
  </si>
  <si>
    <t xml:space="preserve">Imposta anno 1 (utile molto sotto soglia)</t>
  </si>
  <si>
    <t xml:space="preserve">Contributi INPS anno 1 (26,07% su imponibile)</t>
  </si>
  <si>
    <t xml:space="preserve">Imposta anno 2 (utile ancora sotto soglia in questo scenario)</t>
  </si>
  <si>
    <t xml:space="preserve">Netto reale anno 1 (utile reale - imposta - INPS)</t>
  </si>
  <si>
    <t xml:space="preserve">Netto reale anno 1 e 2 Dubai (nessuna imposta in questo scenario)</t>
  </si>
  <si>
    <t xml:space="preserve">← valido solo sotto soglia 92.500€/anno; verificare con advisor UAE</t>
  </si>
  <si>
    <t xml:space="preserve">⚠ Nota: se il coefficiente presunto (78%) supera il margine reale del business, si pagano tasse su un profitto presunto MAGGIORE di quello reale — capita spesso nei primi mesi, quando i costi di acquisizione sono alti rispetto ai ricavi.</t>
  </si>
  <si>
    <t xml:space="preserve">SINTESI — cosa cambia davvero</t>
  </si>
  <si>
    <t xml:space="preserve">• Milano, anno 1: il forfettario funziona bene sui costi di apertura (quasi gratis), ma la base imponibile presunta (78% del fatturato) può superare l'utile reale nei mesi di ramp-up — verificare il coefficiente ATECO corretto con un commercialista prima di scegliere.</t>
  </si>
  <si>
    <t xml:space="preserve">• Milano, anno 2: il fatturato (~82.000€) si avvicina alla soglia degli 85.000€ del forfettario — con la crescita prevista, il passaggio a SRL (o SRL innovativa, che ha comunque le stesse aliquote IRES/IRAP ma agevolazioni su costituzione e investitori) diventa necessario entro l'anno 2.</t>
  </si>
  <si>
    <t xml:space="preserve">• Dubai: sia con QFZP pieno sia (più probabilmente, dato che i clienti finali sono probabilmente residenti a Dubai/mainland, quindi reddito non 'qualifying') con il regime standard da persona tassabile ordinaria, si applica comunque la soglia UNIVERSALE 0% fino a 375.000 AED (~92.500€) di utile, 9% sopra — questa soglia di base non dipende dallo status free zone e non ha scadenza. Ai livelli di utile di questo piano (sotto soglia in entrambi gli anni), la tassazione stimata è 0€. Non è però una condizione permanente: se l'utile di Dubai superasse ~92.500€/anno in futuro, il 9% scatterebbe sulla parte eccedente, a prescindere dallo status free zone, proprio perché il reddito da clienti locali difficilmente si qualifica per l'esenzione aggiuntiva senza soglia riservata alle free zone.</t>
  </si>
  <si>
    <t xml:space="preserve">• Small Business Relief (0% fino a 3 milioni di AED di fatturato, non di utile) è un'agevolazione ULTERIORE e separata dalla soglia universale sopra — disponibile solo per periodi d'imposta che terminano entro il 31/12/2026, salvo proroghe non confermate. Anche senza questa agevolazione, la soglia universale sui primi 375.000 AED di utile resta comunque valida. Verificare con un tax advisor UAE la classificazione esatta del reddito prima di aprire la società — il quadro normativo è recente (dal 2023) e in evoluzione.</t>
  </si>
  <si>
    <t xml:space="preserve">• I costi di gestione superano il beneficio fiscale: a Dubai i costi fissi ricorrenti (licenza, audit, eventuale visto) partono da ~3.000-4.000€/anno anche a tassazione zero — vanno confrontati con il fatturato atteso in quel mercato, non solo con l'aliquota.</t>
  </si>
</sst>
</file>

<file path=xl/styles.xml><?xml version="1.0" encoding="utf-8"?>
<styleSheet xmlns="http://schemas.openxmlformats.org/spreadsheetml/2006/main">
  <numFmts count="6">
    <numFmt numFmtId="164" formatCode="General"/>
    <numFmt numFmtId="165" formatCode="#,##0&quot; €&quot;;\-#,##0&quot; €&quot;;\-"/>
    <numFmt numFmtId="166" formatCode="0.0%"/>
    <numFmt numFmtId="167" formatCode="#,##0"/>
    <numFmt numFmtId="168" formatCode="#,##0.00&quot; €&quot;;\-#,##0.00&quot; €&quot;;\-"/>
    <numFmt numFmtId="169" formatCode="0.0\x"/>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808080"/>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10"/>
      <name val="Arial"/>
      <family val="0"/>
      <charset val="1"/>
    </font>
    <font>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8"/>
      <color rgb="FFA34A3D"/>
      <name val="Arial"/>
      <family val="0"/>
      <charset val="1"/>
    </font>
  </fonts>
  <fills count="6">
    <fill>
      <patternFill patternType="none"/>
    </fill>
    <fill>
      <patternFill patternType="gray125"/>
    </fill>
    <fill>
      <patternFill patternType="solid">
        <fgColor rgb="FF1F4E78"/>
        <bgColor rgb="FF365F8E"/>
      </patternFill>
    </fill>
    <fill>
      <patternFill patternType="solid">
        <fgColor rgb="FF2E75B6"/>
        <bgColor rgb="FF426FA6"/>
      </patternFill>
    </fill>
    <fill>
      <patternFill patternType="solid">
        <fgColor rgb="FFFFFF00"/>
        <bgColor rgb="FFF6D2C1"/>
      </patternFill>
    </fill>
    <fill>
      <patternFill patternType="solid">
        <fgColor rgb="FFD9D9D9"/>
        <bgColor rgb="FFD3DEC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7" fontId="8" fillId="4"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general" vertical="bottom" textRotation="0" wrapText="false" indent="0" shrinkToFit="false"/>
      <protection locked="true" hidden="false"/>
    </xf>
    <xf numFmtId="167" fontId="9" fillId="5" borderId="1" xfId="0" applyFont="true" applyBorder="true" applyAlignment="true" applyProtection="false">
      <alignment horizontal="general" vertical="bottom" textRotation="0" wrapText="false" indent="0" shrinkToFit="false"/>
      <protection locked="true" hidden="false"/>
    </xf>
    <xf numFmtId="166" fontId="9" fillId="5"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26866"/>
      <rgbColor rgb="FF87A44B"/>
      <rgbColor rgb="FF0000FF"/>
      <rgbColor rgb="FFFFFF00"/>
      <rgbColor rgb="FFC57632"/>
      <rgbColor rgb="FF8CBFD2"/>
      <rgbColor rgb="FFA34A3D"/>
      <rgbColor rgb="FF7B9443"/>
      <rgbColor rgb="FFA2BE6D"/>
      <rgbColor rgb="FF6C833B"/>
      <rgbColor rgb="FFB74845"/>
      <rgbColor rgb="FF426FA6"/>
      <rgbColor rgb="FFBFBFBF"/>
      <rgbColor rgb="FF808080"/>
      <rgbColor rgb="FF8EA5CA"/>
      <rgbColor rgb="FF983C3A"/>
      <rgbColor rgb="FFF6D2C1"/>
      <rgbColor rgb="FFC1D9E2"/>
      <rgbColor rgb="FF8B76A8"/>
      <rgbColor rgb="FFF59C60"/>
      <rgbColor rgb="FF365F8E"/>
      <rgbColor rgb="FFC2CCDF"/>
      <rgbColor rgb="FFE0C2C2"/>
      <rgbColor rgb="FFCC8F8E"/>
      <rgbColor rgb="FFB3C992"/>
      <rgbColor rgb="FFABBAD5"/>
      <rgbColor rgb="FF6F568D"/>
      <rgbColor rgb="FFAE672C"/>
      <rgbColor rgb="FF4779B4"/>
      <rgbColor rgb="FFCCC6D6"/>
      <rgbColor rgb="FF3F9EB6"/>
      <rgbColor rgb="FFD9D9D9"/>
      <rgbColor rgb="FFD3DEC3"/>
      <rgbColor rgb="FFC4D4AE"/>
      <rgbColor rgb="FFAACCDA"/>
      <rgbColor rgb="FFD7ABAB"/>
      <rgbColor rgb="FFB9B0C8"/>
      <rgbColor rgb="FFF6C1A8"/>
      <rgbColor rgb="FF2E75B6"/>
      <rgbColor rgb="FF65B1C8"/>
      <rgbColor rgb="FF92B251"/>
      <rgbColor rgb="FFF5B089"/>
      <rgbColor rgb="FFEC8C3D"/>
      <rgbColor rgb="FFDB8238"/>
      <rgbColor rgb="FF785C99"/>
      <rgbColor rgb="FFA596B9"/>
      <rgbColor rgb="FF678CC0"/>
      <rgbColor rgb="FF338094"/>
      <rgbColor rgb="FF878787"/>
      <rgbColor rgb="FF644D80"/>
      <rgbColor rgb="FF863432"/>
      <rgbColor rgb="FFAA433F"/>
      <rgbColor rgb="FF1F4E78"/>
      <rgbColor rgb="FF58447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Cassa disponibile (€) e Utile mensile (€) — 24 mesi</a:t>
            </a:r>
          </a:p>
        </c:rich>
      </c:tx>
      <c:overlay val="0"/>
      <c:spPr>
        <a:noFill/>
        <a:ln w="0">
          <a:noFill/>
        </a:ln>
      </c:spPr>
    </c:title>
    <c:autoTitleDeleted val="0"/>
    <c:plotArea>
      <c:lineChart>
        <c:grouping val="standard"/>
        <c:varyColors val="0"/>
        <c:ser>
          <c:idx val="0"/>
          <c:order val="0"/>
          <c:tx>
            <c:strRef>
              <c:f>"Cassa disponibile fine mese"</c:f>
              <c:strCache>
                <c:ptCount val="1"/>
                <c:pt idx="0">
                  <c:v>Cassa disponibile fine mese</c:v>
                </c:pt>
              </c:strCache>
            </c:strRef>
          </c:tx>
          <c:spPr>
            <a:solidFill>
              <a:srgbClr val="345885"/>
            </a:solidFill>
            <a:ln w="28440">
              <a:solidFill>
                <a:srgbClr val="34588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Mensile'!$C$59</c:f>
              <c:numCache>
                <c:formatCode>#,##0" €";\-#,##0" €";\-</c:formatCode>
                <c:ptCount val="1"/>
                <c:pt idx="0">
                  <c:v>4540</c:v>
                </c:pt>
              </c:numCache>
            </c:numRef>
          </c:val>
          <c:smooth val="1"/>
        </c:ser>
        <c:ser>
          <c:idx val="1"/>
          <c:order val="1"/>
          <c:tx>
            <c:strRef>
              <c:f>"Utile/Perdita mensile"</c:f>
              <c:strCache>
                <c:ptCount val="1"/>
                <c:pt idx="0">
                  <c:v>Utile/Perdita mensile</c:v>
                </c:pt>
              </c:strCache>
            </c:strRef>
          </c:tx>
          <c:spPr>
            <a:solidFill>
              <a:srgbClr val="863432"/>
            </a:solidFill>
            <a:ln w="28440">
              <a:solidFill>
                <a:srgbClr val="86343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Mensile'!$D$59</c:f>
              <c:numCache>
                <c:formatCode>#,##0" €";\-#,##0" €";\-</c:formatCode>
                <c:ptCount val="1"/>
                <c:pt idx="0">
                  <c:v>4105</c:v>
                </c:pt>
              </c:numCache>
            </c:numRef>
          </c:val>
          <c:smooth val="1"/>
        </c:ser>
        <c:ser>
          <c:idx val="2"/>
          <c:order val="2"/>
          <c:spPr>
            <a:solidFill>
              <a:srgbClr val="6c833b"/>
            </a:solidFill>
            <a:ln w="28440">
              <a:solidFill>
                <a:srgbClr val="6c833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Mensile'!$E$59</c:f>
              <c:numCache>
                <c:formatCode>#,##0" €";\-#,##0" €";\-</c:formatCode>
                <c:ptCount val="1"/>
                <c:pt idx="0">
                  <c:v>3670</c:v>
                </c:pt>
              </c:numCache>
            </c:numRef>
          </c:val>
          <c:smooth val="1"/>
        </c:ser>
        <c:ser>
          <c:idx val="3"/>
          <c:order val="3"/>
          <c:spPr>
            <a:solidFill>
              <a:srgbClr val="584471"/>
            </a:solidFill>
            <a:ln w="28440">
              <a:solidFill>
                <a:srgbClr val="584471"/>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Mensile'!$F$59</c:f>
              <c:numCache>
                <c:formatCode>#,##0" €";\-#,##0" €";\-</c:formatCode>
                <c:ptCount val="1"/>
                <c:pt idx="0">
                  <c:v>3201.6</c:v>
                </c:pt>
              </c:numCache>
            </c:numRef>
          </c:val>
          <c:smooth val="1"/>
        </c:ser>
        <c:ser>
          <c:idx val="4"/>
          <c:order val="4"/>
          <c:spPr>
            <a:solidFill>
              <a:srgbClr val="31788a"/>
            </a:solidFill>
            <a:ln w="28440">
              <a:solidFill>
                <a:srgbClr val="31788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Mensile'!$G$59</c:f>
              <c:numCache>
                <c:formatCode>#,##0" €";\-#,##0" €";\-</c:formatCode>
                <c:ptCount val="1"/>
                <c:pt idx="0">
                  <c:v>3057.2876</c:v>
                </c:pt>
              </c:numCache>
            </c:numRef>
          </c:val>
          <c:smooth val="1"/>
        </c:ser>
        <c:ser>
          <c:idx val="5"/>
          <c:order val="5"/>
          <c:spPr>
            <a:solidFill>
              <a:srgbClr val="ae672c"/>
            </a:solidFill>
            <a:ln w="28440">
              <a:solidFill>
                <a:srgbClr val="ae67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Mensile'!$H$59</c:f>
              <c:numCache>
                <c:formatCode>#,##0" €";\-#,##0" €";\-</c:formatCode>
                <c:ptCount val="1"/>
                <c:pt idx="0">
                  <c:v>3008.22809146667</c:v>
                </c:pt>
              </c:numCache>
            </c:numRef>
          </c:val>
          <c:smooth val="1"/>
        </c:ser>
        <c:ser>
          <c:idx val="6"/>
          <c:order val="6"/>
          <c:spPr>
            <a:solidFill>
              <a:srgbClr val="3b6596"/>
            </a:solidFill>
            <a:ln w="28440">
              <a:solidFill>
                <a:srgbClr val="3b659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Mensile'!$I$59</c:f>
              <c:numCache>
                <c:formatCode>#,##0" €";\-#,##0" €";\-</c:formatCode>
                <c:ptCount val="1"/>
                <c:pt idx="0">
                  <c:v>2769.92038744693</c:v>
                </c:pt>
              </c:numCache>
            </c:numRef>
          </c:val>
          <c:smooth val="1"/>
        </c:ser>
        <c:ser>
          <c:idx val="7"/>
          <c:order val="7"/>
          <c:spPr>
            <a:solidFill>
              <a:srgbClr val="983c3a"/>
            </a:solidFill>
            <a:ln w="28440">
              <a:solidFill>
                <a:srgbClr val="983c3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Mensile'!$J$59</c:f>
              <c:numCache>
                <c:formatCode>#,##0" €";\-#,##0" €";\-</c:formatCode>
                <c:ptCount val="1"/>
                <c:pt idx="0">
                  <c:v>3142.3987590807</c:v>
                </c:pt>
              </c:numCache>
            </c:numRef>
          </c:val>
          <c:smooth val="1"/>
        </c:ser>
        <c:ser>
          <c:idx val="8"/>
          <c:order val="8"/>
          <c:spPr>
            <a:solidFill>
              <a:srgbClr val="7b9443"/>
            </a:solidFill>
            <a:ln w="28440">
              <a:solidFill>
                <a:srgbClr val="7b9443"/>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Mensile'!$K$59</c:f>
              <c:numCache>
                <c:formatCode>#,##0" €";\-#,##0" €";\-</c:formatCode>
                <c:ptCount val="1"/>
                <c:pt idx="0">
                  <c:v>4555.74879622583</c:v>
                </c:pt>
              </c:numCache>
            </c:numRef>
          </c:val>
          <c:smooth val="1"/>
        </c:ser>
        <c:ser>
          <c:idx val="9"/>
          <c:order val="9"/>
          <c:spPr>
            <a:solidFill>
              <a:srgbClr val="644d80"/>
            </a:solidFill>
            <a:ln w="28440">
              <a:solidFill>
                <a:srgbClr val="644d8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Mensile'!$L$59</c:f>
              <c:numCache>
                <c:formatCode>#,##0" €";\-#,##0" €";\-</c:formatCode>
                <c:ptCount val="1"/>
                <c:pt idx="0">
                  <c:v>6155.45763630787</c:v>
                </c:pt>
              </c:numCache>
            </c:numRef>
          </c:val>
          <c:smooth val="1"/>
        </c:ser>
        <c:ser>
          <c:idx val="10"/>
          <c:order val="10"/>
          <c:spPr>
            <a:solidFill>
              <a:srgbClr val="38879d"/>
            </a:solidFill>
            <a:ln w="28440">
              <a:solidFill>
                <a:srgbClr val="38879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Mensile'!$M$59</c:f>
              <c:numCache>
                <c:formatCode>#,##0" €";\-#,##0" €";\-</c:formatCode>
                <c:ptCount val="1"/>
                <c:pt idx="0">
                  <c:v>8246.68232624051</c:v>
                </c:pt>
              </c:numCache>
            </c:numRef>
          </c:val>
          <c:smooth val="1"/>
        </c:ser>
        <c:ser>
          <c:idx val="11"/>
          <c:order val="11"/>
          <c:spPr>
            <a:solidFill>
              <a:srgbClr val="c57632"/>
            </a:solidFill>
            <a:ln w="28440">
              <a:solidFill>
                <a:srgbClr val="c5763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Mensile'!$N$59</c:f>
              <c:numCache>
                <c:formatCode>#,##0" €";\-#,##0" €";\-</c:formatCode>
                <c:ptCount val="1"/>
                <c:pt idx="0">
                  <c:v>10808.8252490515</c:v>
                </c:pt>
              </c:numCache>
            </c:numRef>
          </c:val>
          <c:smooth val="1"/>
        </c:ser>
        <c:ser>
          <c:idx val="12"/>
          <c:order val="12"/>
          <c:spPr>
            <a:solidFill>
              <a:srgbClr val="426fa6"/>
            </a:solidFill>
            <a:ln w="28440">
              <a:solidFill>
                <a:srgbClr val="426fa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Mensile'!$O$59</c:f>
              <c:numCache>
                <c:formatCode>#,##0" €";\-#,##0" €";\-</c:formatCode>
                <c:ptCount val="1"/>
                <c:pt idx="0">
                  <c:v>13896.750489059</c:v>
                </c:pt>
              </c:numCache>
            </c:numRef>
          </c:val>
          <c:smooth val="1"/>
        </c:ser>
        <c:ser>
          <c:idx val="13"/>
          <c:order val="13"/>
          <c:spPr>
            <a:solidFill>
              <a:srgbClr val="aa433f"/>
            </a:solidFill>
            <a:ln w="28440">
              <a:solidFill>
                <a:srgbClr val="aa433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Mensile'!$P$59</c:f>
              <c:numCache>
                <c:formatCode>#,##0" €";\-#,##0" €";\-</c:formatCode>
                <c:ptCount val="1"/>
                <c:pt idx="0">
                  <c:v>17571.7203800945</c:v>
                </c:pt>
              </c:numCache>
            </c:numRef>
          </c:val>
          <c:smooth val="1"/>
        </c:ser>
        <c:ser>
          <c:idx val="14"/>
          <c:order val="14"/>
          <c:spPr>
            <a:solidFill>
              <a:srgbClr val="87a44b"/>
            </a:solidFill>
            <a:ln w="28440">
              <a:solidFill>
                <a:srgbClr val="87a44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Mensile'!$Q$59</c:f>
              <c:numCache>
                <c:formatCode>#,##0" €";\-#,##0" €";\-</c:formatCode>
                <c:ptCount val="1"/>
                <c:pt idx="0">
                  <c:v>21902.1416693609</c:v>
                </c:pt>
              </c:numCache>
            </c:numRef>
          </c:val>
          <c:smooth val="1"/>
        </c:ser>
        <c:ser>
          <c:idx val="15"/>
          <c:order val="15"/>
          <c:spPr>
            <a:solidFill>
              <a:srgbClr val="6f568d"/>
            </a:solidFill>
            <a:ln w="28440">
              <a:solidFill>
                <a:srgbClr val="6f568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Mensile'!$R$59</c:f>
              <c:numCache>
                <c:formatCode>#,##0" €";\-#,##0" €";\-</c:formatCode>
                <c:ptCount val="1"/>
                <c:pt idx="0">
                  <c:v>26944.3986989199</c:v>
                </c:pt>
              </c:numCache>
            </c:numRef>
          </c:val>
          <c:smooth val="1"/>
        </c:ser>
        <c:ser>
          <c:idx val="16"/>
          <c:order val="16"/>
          <c:spPr>
            <a:solidFill>
              <a:srgbClr val="3d97af"/>
            </a:solidFill>
            <a:ln w="28440">
              <a:solidFill>
                <a:srgbClr val="3d97a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Mensile'!$S$59</c:f>
              <c:numCache>
                <c:formatCode>#,##0" €";\-#,##0" €";\-</c:formatCode>
                <c:ptCount val="1"/>
                <c:pt idx="0">
                  <c:v>32803.7837528045</c:v>
                </c:pt>
              </c:numCache>
            </c:numRef>
          </c:val>
          <c:smooth val="1"/>
        </c:ser>
        <c:ser>
          <c:idx val="17"/>
          <c:order val="17"/>
          <c:spPr>
            <a:solidFill>
              <a:srgbClr val="db8238"/>
            </a:solidFill>
            <a:ln w="28440">
              <a:solidFill>
                <a:srgbClr val="db823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Mensile'!$T$59</c:f>
              <c:numCache>
                <c:formatCode>#,##0" €";\-#,##0" €";\-</c:formatCode>
                <c:ptCount val="1"/>
                <c:pt idx="0">
                  <c:v>39575.5359012114</c:v>
                </c:pt>
              </c:numCache>
            </c:numRef>
          </c:val>
          <c:smooth val="1"/>
        </c:ser>
        <c:ser>
          <c:idx val="18"/>
          <c:order val="18"/>
          <c:spPr>
            <a:solidFill>
              <a:srgbClr val="4779b4"/>
            </a:solidFill>
            <a:ln w="28440">
              <a:solidFill>
                <a:srgbClr val="4779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Mensile'!$U$59</c:f>
              <c:numCache>
                <c:formatCode>#,##0" €";\-#,##0" €";\-</c:formatCode>
                <c:ptCount val="1"/>
                <c:pt idx="0">
                  <c:v>44082.6676613705</c:v>
                </c:pt>
              </c:numCache>
            </c:numRef>
          </c:val>
          <c:smooth val="1"/>
        </c:ser>
        <c:ser>
          <c:idx val="19"/>
          <c:order val="19"/>
          <c:spPr>
            <a:solidFill>
              <a:srgbClr val="b74845"/>
            </a:solidFill>
            <a:ln w="28440">
              <a:solidFill>
                <a:srgbClr val="b7484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Mensile'!$V$59</c:f>
              <c:numCache>
                <c:formatCode>#,##0" €";\-#,##0" €";\-</c:formatCode>
                <c:ptCount val="1"/>
                <c:pt idx="0">
                  <c:v>52227.2602702711</c:v>
                </c:pt>
              </c:numCache>
            </c:numRef>
          </c:val>
          <c:smooth val="1"/>
        </c:ser>
        <c:ser>
          <c:idx val="20"/>
          <c:order val="20"/>
          <c:spPr>
            <a:solidFill>
              <a:srgbClr val="92b251"/>
            </a:solidFill>
            <a:ln w="28440">
              <a:solidFill>
                <a:srgbClr val="92b251"/>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Mensile'!$W$59</c:f>
              <c:numCache>
                <c:formatCode>#,##0" €";\-#,##0" €";\-</c:formatCode>
                <c:ptCount val="1"/>
                <c:pt idx="0">
                  <c:v>61641.9100120933</c:v>
                </c:pt>
              </c:numCache>
            </c:numRef>
          </c:val>
          <c:smooth val="1"/>
        </c:ser>
        <c:ser>
          <c:idx val="21"/>
          <c:order val="21"/>
          <c:spPr>
            <a:solidFill>
              <a:srgbClr val="785c99"/>
            </a:solidFill>
            <a:ln w="28440">
              <a:solidFill>
                <a:srgbClr val="785c9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Mensile'!$X$59</c:f>
              <c:numCache>
                <c:formatCode>#,##0" €";\-#,##0" €";\-</c:formatCode>
                <c:ptCount val="1"/>
                <c:pt idx="0">
                  <c:v>72474.6765496785</c:v>
                </c:pt>
              </c:numCache>
            </c:numRef>
          </c:val>
          <c:smooth val="1"/>
        </c:ser>
        <c:ser>
          <c:idx val="22"/>
          <c:order val="22"/>
          <c:spPr>
            <a:solidFill>
              <a:srgbClr val="43a4bd"/>
            </a:solidFill>
            <a:ln w="28440">
              <a:solidFill>
                <a:srgbClr val="43a4b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Mensile'!$Y$59</c:f>
              <c:numCache>
                <c:formatCode>#,##0" €";\-#,##0" €";\-</c:formatCode>
                <c:ptCount val="1"/>
                <c:pt idx="0">
                  <c:v>84890.8862637486</c:v>
                </c:pt>
              </c:numCache>
            </c:numRef>
          </c:val>
          <c:smooth val="1"/>
        </c:ser>
        <c:ser>
          <c:idx val="23"/>
          <c:order val="23"/>
          <c:spPr>
            <a:solidFill>
              <a:srgbClr val="ec8c3d"/>
            </a:solidFill>
            <a:ln w="28440">
              <a:solidFill>
                <a:srgbClr val="ec8c3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Mensile'!$Z$59</c:f>
              <c:numCache>
                <c:formatCode>#,##0" €";\-#,##0" €";\-</c:formatCode>
                <c:ptCount val="1"/>
                <c:pt idx="0">
                  <c:v>99075.1458975453</c:v>
                </c:pt>
              </c:numCache>
            </c:numRef>
          </c:val>
          <c:smooth val="1"/>
        </c:ser>
        <c:ser>
          <c:idx val="24"/>
          <c:order val="24"/>
          <c:spPr>
            <a:solidFill>
              <a:srgbClr val="678cc0"/>
            </a:solidFill>
            <a:ln w="28440">
              <a:solidFill>
                <a:srgbClr val="678cc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Mensile'!$C$57</c:f>
              <c:numCache>
                <c:formatCode>#,##0" €";\-#,##0" €";\-</c:formatCode>
                <c:ptCount val="1"/>
                <c:pt idx="0">
                  <c:v>-460</c:v>
                </c:pt>
              </c:numCache>
            </c:numRef>
          </c:val>
          <c:smooth val="1"/>
        </c:ser>
        <c:ser>
          <c:idx val="25"/>
          <c:order val="25"/>
          <c:spPr>
            <a:solidFill>
              <a:srgbClr val="c26866"/>
            </a:solidFill>
            <a:ln w="28440">
              <a:solidFill>
                <a:srgbClr val="c2686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Mensile'!$D$57</c:f>
              <c:numCache>
                <c:formatCode>#,##0" €";\-#,##0" €";\-</c:formatCode>
                <c:ptCount val="1"/>
                <c:pt idx="0">
                  <c:v>-435</c:v>
                </c:pt>
              </c:numCache>
            </c:numRef>
          </c:val>
          <c:smooth val="1"/>
        </c:ser>
        <c:ser>
          <c:idx val="26"/>
          <c:order val="26"/>
          <c:spPr>
            <a:solidFill>
              <a:srgbClr val="a2be6d"/>
            </a:solidFill>
            <a:ln w="28440">
              <a:solidFill>
                <a:srgbClr val="a2be6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Mensile'!$E$57</c:f>
              <c:numCache>
                <c:formatCode>#,##0" €";\-#,##0" €";\-</c:formatCode>
                <c:ptCount val="1"/>
                <c:pt idx="0">
                  <c:v>-435</c:v>
                </c:pt>
              </c:numCache>
            </c:numRef>
          </c:val>
          <c:smooth val="1"/>
        </c:ser>
        <c:ser>
          <c:idx val="27"/>
          <c:order val="27"/>
          <c:spPr>
            <a:solidFill>
              <a:srgbClr val="8b76a8"/>
            </a:solidFill>
            <a:ln w="28440">
              <a:solidFill>
                <a:srgbClr val="8b76a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Mensile'!$F$57</c:f>
              <c:numCache>
                <c:formatCode>#,##0" €";\-#,##0" €";\-</c:formatCode>
                <c:ptCount val="1"/>
                <c:pt idx="0">
                  <c:v>-468.4</c:v>
                </c:pt>
              </c:numCache>
            </c:numRef>
          </c:val>
          <c:smooth val="1"/>
        </c:ser>
        <c:ser>
          <c:idx val="28"/>
          <c:order val="28"/>
          <c:spPr>
            <a:solidFill>
              <a:srgbClr val="65b1c8"/>
            </a:solidFill>
            <a:ln w="28440">
              <a:solidFill>
                <a:srgbClr val="65b1c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Mensile'!$G$57</c:f>
              <c:numCache>
                <c:formatCode>#,##0" €";\-#,##0" €";\-</c:formatCode>
                <c:ptCount val="1"/>
                <c:pt idx="0">
                  <c:v>-144.3124</c:v>
                </c:pt>
              </c:numCache>
            </c:numRef>
          </c:val>
          <c:smooth val="1"/>
        </c:ser>
        <c:ser>
          <c:idx val="29"/>
          <c:order val="29"/>
          <c:spPr>
            <a:solidFill>
              <a:srgbClr val="f59c60"/>
            </a:solidFill>
            <a:ln w="28440">
              <a:solidFill>
                <a:srgbClr val="f59c6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Mensile'!$H$57</c:f>
              <c:numCache>
                <c:formatCode>#,##0" €";\-#,##0" €";\-</c:formatCode>
                <c:ptCount val="1"/>
                <c:pt idx="0">
                  <c:v>-49.0595085333332</c:v>
                </c:pt>
              </c:numCache>
            </c:numRef>
          </c:val>
          <c:smooth val="1"/>
        </c:ser>
        <c:ser>
          <c:idx val="30"/>
          <c:order val="30"/>
          <c:spPr>
            <a:solidFill>
              <a:srgbClr val="8ea5ca"/>
            </a:solidFill>
            <a:ln w="28440">
              <a:solidFill>
                <a:srgbClr val="8ea5c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Mensile'!$I$57</c:f>
              <c:numCache>
                <c:formatCode>#,##0" €";\-#,##0" €";\-</c:formatCode>
                <c:ptCount val="1"/>
                <c:pt idx="0">
                  <c:v>-238.307704019734</c:v>
                </c:pt>
              </c:numCache>
            </c:numRef>
          </c:val>
          <c:smooth val="1"/>
        </c:ser>
        <c:ser>
          <c:idx val="31"/>
          <c:order val="31"/>
          <c:spPr>
            <a:solidFill>
              <a:srgbClr val="cc8f8e"/>
            </a:solidFill>
            <a:ln w="28440">
              <a:solidFill>
                <a:srgbClr val="cc8f8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Mensile'!$J$57</c:f>
              <c:numCache>
                <c:formatCode>#,##0" €";\-#,##0" €";\-</c:formatCode>
                <c:ptCount val="1"/>
                <c:pt idx="0">
                  <c:v>372.47837163377</c:v>
                </c:pt>
              </c:numCache>
            </c:numRef>
          </c:val>
          <c:smooth val="1"/>
        </c:ser>
        <c:ser>
          <c:idx val="32"/>
          <c:order val="32"/>
          <c:spPr>
            <a:solidFill>
              <a:srgbClr val="b3c992"/>
            </a:solidFill>
            <a:ln w="28440">
              <a:solidFill>
                <a:srgbClr val="b3c99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Mensile'!$K$57</c:f>
              <c:numCache>
                <c:formatCode>#,##0" €";\-#,##0" €";\-</c:formatCode>
                <c:ptCount val="1"/>
                <c:pt idx="0">
                  <c:v>1413.35003714513</c:v>
                </c:pt>
              </c:numCache>
            </c:numRef>
          </c:val>
          <c:smooth val="1"/>
        </c:ser>
        <c:ser>
          <c:idx val="33"/>
          <c:order val="33"/>
          <c:spPr>
            <a:solidFill>
              <a:srgbClr val="a596b9"/>
            </a:solidFill>
            <a:ln w="28440">
              <a:solidFill>
                <a:srgbClr val="a596b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Mensile'!$L$57</c:f>
              <c:numCache>
                <c:formatCode>#,##0" €";\-#,##0" €";\-</c:formatCode>
                <c:ptCount val="1"/>
                <c:pt idx="0">
                  <c:v>1599.70884008203</c:v>
                </c:pt>
              </c:numCache>
            </c:numRef>
          </c:val>
          <c:smooth val="1"/>
        </c:ser>
        <c:ser>
          <c:idx val="34"/>
          <c:order val="34"/>
          <c:spPr>
            <a:solidFill>
              <a:srgbClr val="8cbfd2"/>
            </a:solidFill>
            <a:ln w="28440">
              <a:solidFill>
                <a:srgbClr val="8cbfd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Mensile'!$M$57</c:f>
              <c:numCache>
                <c:formatCode>#,##0" €";\-#,##0" €";\-</c:formatCode>
                <c:ptCount val="1"/>
                <c:pt idx="0">
                  <c:v>2091.22468993265</c:v>
                </c:pt>
              </c:numCache>
            </c:numRef>
          </c:val>
          <c:smooth val="1"/>
        </c:ser>
        <c:ser>
          <c:idx val="35"/>
          <c:order val="35"/>
          <c:spPr>
            <a:solidFill>
              <a:srgbClr val="f5b089"/>
            </a:solidFill>
            <a:ln w="28440">
              <a:solidFill>
                <a:srgbClr val="f5b08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Mensile'!$N$57</c:f>
              <c:numCache>
                <c:formatCode>#,##0" €";\-#,##0" €";\-</c:formatCode>
                <c:ptCount val="1"/>
                <c:pt idx="0">
                  <c:v>2562.14292281094</c:v>
                </c:pt>
              </c:numCache>
            </c:numRef>
          </c:val>
          <c:smooth val="1"/>
        </c:ser>
        <c:ser>
          <c:idx val="36"/>
          <c:order val="36"/>
          <c:spPr>
            <a:solidFill>
              <a:srgbClr val="abbad5"/>
            </a:solidFill>
            <a:ln w="28440">
              <a:solidFill>
                <a:srgbClr val="abbad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Mensile'!$O$57</c:f>
              <c:numCache>
                <c:formatCode>#,##0" €";\-#,##0" €";\-</c:formatCode>
                <c:ptCount val="1"/>
                <c:pt idx="0">
                  <c:v>3087.9252400075</c:v>
                </c:pt>
              </c:numCache>
            </c:numRef>
          </c:val>
          <c:smooth val="1"/>
        </c:ser>
        <c:ser>
          <c:idx val="37"/>
          <c:order val="37"/>
          <c:spPr>
            <a:solidFill>
              <a:srgbClr val="d7abab"/>
            </a:solidFill>
            <a:ln w="28440">
              <a:solidFill>
                <a:srgbClr val="d7aba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Mensile'!$P$57</c:f>
              <c:numCache>
                <c:formatCode>#,##0" €";\-#,##0" €";\-</c:formatCode>
                <c:ptCount val="1"/>
                <c:pt idx="0">
                  <c:v>3674.96989103552</c:v>
                </c:pt>
              </c:numCache>
            </c:numRef>
          </c:val>
          <c:smooth val="1"/>
        </c:ser>
        <c:ser>
          <c:idx val="38"/>
          <c:order val="38"/>
          <c:spPr>
            <a:solidFill>
              <a:srgbClr val="c4d4ae"/>
            </a:solidFill>
            <a:ln w="28440">
              <a:solidFill>
                <a:srgbClr val="c4d4a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Mensile'!$Q$57</c:f>
              <c:numCache>
                <c:formatCode>#,##0" €";\-#,##0" €";\-</c:formatCode>
                <c:ptCount val="1"/>
                <c:pt idx="0">
                  <c:v>4330.42128926643</c:v>
                </c:pt>
              </c:numCache>
            </c:numRef>
          </c:val>
          <c:smooth val="1"/>
        </c:ser>
        <c:ser>
          <c:idx val="39"/>
          <c:order val="39"/>
          <c:spPr>
            <a:solidFill>
              <a:srgbClr val="b9b0c8"/>
            </a:solidFill>
            <a:ln w="28440">
              <a:solidFill>
                <a:srgbClr val="b9b0c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Mensile'!$R$57</c:f>
              <c:numCache>
                <c:formatCode>#,##0" €";\-#,##0" €";\-</c:formatCode>
                <c:ptCount val="1"/>
                <c:pt idx="0">
                  <c:v>5042.25702955903</c:v>
                </c:pt>
              </c:numCache>
            </c:numRef>
          </c:val>
          <c:smooth val="1"/>
        </c:ser>
        <c:ser>
          <c:idx val="40"/>
          <c:order val="40"/>
          <c:spPr>
            <a:solidFill>
              <a:srgbClr val="aaccda"/>
            </a:solidFill>
            <a:ln w="28440">
              <a:solidFill>
                <a:srgbClr val="aaccd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Mensile'!$S$57</c:f>
              <c:numCache>
                <c:formatCode>#,##0" €";\-#,##0" €";\-</c:formatCode>
                <c:ptCount val="1"/>
                <c:pt idx="0">
                  <c:v>5859.38505388454</c:v>
                </c:pt>
              </c:numCache>
            </c:numRef>
          </c:val>
          <c:smooth val="1"/>
        </c:ser>
        <c:ser>
          <c:idx val="41"/>
          <c:order val="41"/>
          <c:spPr>
            <a:solidFill>
              <a:srgbClr val="f6c1a8"/>
            </a:solidFill>
            <a:ln w="28440">
              <a:solidFill>
                <a:srgbClr val="f6c1a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Mensile'!$T$57</c:f>
              <c:numCache>
                <c:formatCode>#,##0" €";\-#,##0" €";\-</c:formatCode>
                <c:ptCount val="1"/>
                <c:pt idx="0">
                  <c:v>6771.75214840691</c:v>
                </c:pt>
              </c:numCache>
            </c:numRef>
          </c:val>
          <c:smooth val="1"/>
        </c:ser>
        <c:ser>
          <c:idx val="42"/>
          <c:order val="42"/>
          <c:spPr>
            <a:solidFill>
              <a:srgbClr val="c2ccdf"/>
            </a:solidFill>
            <a:ln w="28440">
              <a:solidFill>
                <a:srgbClr val="c2ccd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Mensile'!$U$57</c:f>
              <c:numCache>
                <c:formatCode>#,##0" €";\-#,##0" €";\-</c:formatCode>
                <c:ptCount val="1"/>
                <c:pt idx="0">
                  <c:v>4507.13176015913</c:v>
                </c:pt>
              </c:numCache>
            </c:numRef>
          </c:val>
          <c:smooth val="1"/>
        </c:ser>
        <c:ser>
          <c:idx val="43"/>
          <c:order val="43"/>
          <c:spPr>
            <a:solidFill>
              <a:srgbClr val="e0c2c2"/>
            </a:solidFill>
            <a:ln w="28440">
              <a:solidFill>
                <a:srgbClr val="e0c2c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Mensile'!$V$57</c:f>
              <c:numCache>
                <c:formatCode>#,##0" €";\-#,##0" €";\-</c:formatCode>
                <c:ptCount val="1"/>
                <c:pt idx="0">
                  <c:v>8144.59260890057</c:v>
                </c:pt>
              </c:numCache>
            </c:numRef>
          </c:val>
          <c:smooth val="1"/>
        </c:ser>
        <c:ser>
          <c:idx val="44"/>
          <c:order val="44"/>
          <c:spPr>
            <a:solidFill>
              <a:srgbClr val="d3dec3"/>
            </a:solidFill>
            <a:ln w="28440">
              <a:solidFill>
                <a:srgbClr val="d3dec3"/>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Mensile'!$W$57</c:f>
              <c:numCache>
                <c:formatCode>#,##0" €";\-#,##0" €";\-</c:formatCode>
                <c:ptCount val="1"/>
                <c:pt idx="0">
                  <c:v>9414.64974182223</c:v>
                </c:pt>
              </c:numCache>
            </c:numRef>
          </c:val>
          <c:smooth val="1"/>
        </c:ser>
        <c:ser>
          <c:idx val="45"/>
          <c:order val="45"/>
          <c:spPr>
            <a:solidFill>
              <a:srgbClr val="ccc6d6"/>
            </a:solidFill>
            <a:ln w="28440">
              <a:solidFill>
                <a:srgbClr val="ccc6d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Mensile'!$X$57</c:f>
              <c:numCache>
                <c:formatCode>#,##0" €";\-#,##0" €";\-</c:formatCode>
                <c:ptCount val="1"/>
                <c:pt idx="0">
                  <c:v>10832.7665375852</c:v>
                </c:pt>
              </c:numCache>
            </c:numRef>
          </c:val>
          <c:smooth val="1"/>
        </c:ser>
        <c:ser>
          <c:idx val="46"/>
          <c:order val="46"/>
          <c:spPr>
            <a:solidFill>
              <a:srgbClr val="c1d9e2"/>
            </a:solidFill>
            <a:ln w="28440">
              <a:solidFill>
                <a:srgbClr val="c1d9e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Mensile'!$Y$57</c:f>
              <c:numCache>
                <c:formatCode>#,##0" €";\-#,##0" €";\-</c:formatCode>
                <c:ptCount val="1"/>
                <c:pt idx="0">
                  <c:v>12416.2097140701</c:v>
                </c:pt>
              </c:numCache>
            </c:numRef>
          </c:val>
          <c:smooth val="1"/>
        </c:ser>
        <c:ser>
          <c:idx val="47"/>
          <c:order val="47"/>
          <c:spPr>
            <a:solidFill>
              <a:srgbClr val="f6d2c1"/>
            </a:solidFill>
            <a:ln w="28440">
              <a:solidFill>
                <a:srgbClr val="f6d2c1"/>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'Piano Mensile'!$C$2:$Z$2</c:f>
              <c:multiLvlStrCache>
                <c:ptCount val="1"/>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lvl>
                  <c:pt idx="0">
                    <c:v>0</c:v>
                  </c:pt>
                </c:lvl>
              </c:multiLvlStrCache>
            </c:multiLvlStrRef>
          </c:cat>
          <c:val>
            <c:numRef>
              <c:f>'Piano Mensile'!$Z$57</c:f>
              <c:numCache>
                <c:formatCode>#,##0" €";\-#,##0" €";\-</c:formatCode>
                <c:ptCount val="1"/>
                <c:pt idx="0">
                  <c:v>14184.2596337966</c:v>
                </c:pt>
              </c:numCache>
            </c:numRef>
          </c:val>
          <c:smooth val="1"/>
        </c:ser>
        <c:hiLowLines>
          <c:spPr>
            <a:ln w="0">
              <a:noFill/>
            </a:ln>
          </c:spPr>
        </c:hiLowLines>
        <c:marker val="0"/>
        <c:axId val="33157420"/>
        <c:axId val="54547057"/>
      </c:lineChart>
      <c:catAx>
        <c:axId val="3315742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Mese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547057"/>
        <c:crosses val="autoZero"/>
        <c:auto val="1"/>
        <c:lblAlgn val="ctr"/>
        <c:lblOffset val="100"/>
        <c:noMultiLvlLbl val="0"/>
      </c:catAx>
      <c:valAx>
        <c:axId val="545470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Euro</a:t>
                </a:r>
              </a:p>
            </c:rich>
          </c:tx>
          <c:overlay val="0"/>
          <c:spPr>
            <a:noFill/>
            <a:ln w="0">
              <a:noFill/>
            </a:ln>
          </c:spPr>
        </c:title>
        <c:numFmt formatCode="#,##0&quot; €&quot;;\-#,##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1574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0</xdr:rowOff>
    </xdr:from>
    <xdr:to>
      <xdr:col>4</xdr:col>
      <xdr:colOff>392400</xdr:colOff>
      <xdr:row>52</xdr:row>
      <xdr:rowOff>149400</xdr:rowOff>
    </xdr:to>
    <xdr:graphicFrame>
      <xdr:nvGraphicFramePr>
        <xdr:cNvPr id="0" name="Chart 1"/>
        <xdr:cNvGraphicFramePr/>
      </xdr:nvGraphicFramePr>
      <xdr:xfrm>
        <a:off x="0" y="6562800"/>
        <a:ext cx="8639280" cy="39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46"/>
    <col collapsed="false" customWidth="true" hidden="false" outlineLevel="0" max="4" min="4" style="1" width="10"/>
  </cols>
  <sheetData>
    <row r="1" customFormat="false" ht="21.75" hidden="false" customHeight="true" outlineLevel="0" collapsed="false">
      <c r="A1" s="2" t="s">
        <v>0</v>
      </c>
      <c r="B1" s="2"/>
      <c r="C1" s="2"/>
    </row>
    <row r="2" customFormat="false" ht="15" hidden="false" customHeight="true" outlineLevel="0" collapsed="false">
      <c r="A2" s="3" t="s">
        <v>1</v>
      </c>
    </row>
    <row r="4" customFormat="false" ht="15" hidden="false" customHeight="true" outlineLevel="0" collapsed="false">
      <c r="A4" s="4" t="s">
        <v>2</v>
      </c>
      <c r="B4" s="4"/>
      <c r="C4" s="4"/>
    </row>
    <row r="5" customFormat="false" ht="15" hidden="false" customHeight="true" outlineLevel="0" collapsed="false">
      <c r="A5" s="5" t="s">
        <v>3</v>
      </c>
      <c r="B5" s="6" t="n">
        <v>5000</v>
      </c>
      <c r="C5" s="3" t="s">
        <v>4</v>
      </c>
    </row>
    <row r="6" customFormat="false" ht="15" hidden="false" customHeight="true" outlineLevel="0" collapsed="false">
      <c r="A6" s="5" t="s">
        <v>5</v>
      </c>
      <c r="B6" s="6" t="n">
        <v>20</v>
      </c>
      <c r="C6" s="3" t="s">
        <v>6</v>
      </c>
    </row>
    <row r="7" customFormat="false" ht="15" hidden="false" customHeight="true" outlineLevel="0" collapsed="false">
      <c r="A7" s="5" t="s">
        <v>7</v>
      </c>
      <c r="B7" s="6" t="n">
        <v>300</v>
      </c>
      <c r="C7" s="3" t="s">
        <v>8</v>
      </c>
    </row>
    <row r="8" customFormat="false" ht="15" hidden="false" customHeight="true" outlineLevel="0" collapsed="false">
      <c r="A8" s="5" t="s">
        <v>9</v>
      </c>
      <c r="B8" s="7" t="n">
        <v>0.04</v>
      </c>
      <c r="C8" s="3" t="s">
        <v>10</v>
      </c>
    </row>
    <row r="10" customFormat="false" ht="15" hidden="false" customHeight="true" outlineLevel="0" collapsed="false">
      <c r="A10" s="4" t="s">
        <v>11</v>
      </c>
      <c r="B10" s="4"/>
      <c r="C10" s="4"/>
    </row>
    <row r="11" customFormat="false" ht="15" hidden="false" customHeight="true" outlineLevel="0" collapsed="false">
      <c r="A11" s="5" t="s">
        <v>12</v>
      </c>
      <c r="B11" s="8" t="n">
        <v>10</v>
      </c>
      <c r="C11" s="3" t="s">
        <v>13</v>
      </c>
    </row>
    <row r="12" customFormat="false" ht="15" hidden="false" customHeight="true" outlineLevel="0" collapsed="false">
      <c r="A12" s="5" t="s">
        <v>14</v>
      </c>
      <c r="B12" s="7" t="n">
        <v>0.03</v>
      </c>
      <c r="C12" s="3" t="s">
        <v>15</v>
      </c>
    </row>
    <row r="13" customFormat="false" ht="15" hidden="false" customHeight="true" outlineLevel="0" collapsed="false">
      <c r="A13" s="5" t="s">
        <v>16</v>
      </c>
      <c r="B13" s="6" t="n">
        <v>8</v>
      </c>
      <c r="C13" s="3" t="s">
        <v>17</v>
      </c>
    </row>
    <row r="14" customFormat="false" ht="15" hidden="false" customHeight="true" outlineLevel="0" collapsed="false">
      <c r="A14" s="5" t="s">
        <v>18</v>
      </c>
      <c r="B14" s="6" t="n">
        <v>100</v>
      </c>
      <c r="C14" s="3" t="s">
        <v>19</v>
      </c>
    </row>
    <row r="15" customFormat="false" ht="15" hidden="false" customHeight="true" outlineLevel="0" collapsed="false">
      <c r="A15" s="5" t="s">
        <v>20</v>
      </c>
      <c r="B15" s="6" t="n">
        <v>4</v>
      </c>
      <c r="C15" s="3" t="s">
        <v>21</v>
      </c>
    </row>
    <row r="16" customFormat="false" ht="15" hidden="false" customHeight="true" outlineLevel="0" collapsed="false">
      <c r="A16" s="5" t="s">
        <v>22</v>
      </c>
      <c r="B16" s="8" t="n">
        <v>1</v>
      </c>
      <c r="C16" s="3" t="s">
        <v>23</v>
      </c>
    </row>
    <row r="17" customFormat="false" ht="15" hidden="false" customHeight="true" outlineLevel="0" collapsed="false">
      <c r="A17" s="5" t="s">
        <v>24</v>
      </c>
      <c r="B17" s="8" t="n">
        <v>3</v>
      </c>
      <c r="C17" s="3" t="s">
        <v>25</v>
      </c>
    </row>
    <row r="19" customFormat="false" ht="15" hidden="false" customHeight="true" outlineLevel="0" collapsed="false">
      <c r="A19" s="4" t="s">
        <v>26</v>
      </c>
      <c r="B19" s="4"/>
      <c r="C19" s="4"/>
    </row>
    <row r="20" customFormat="false" ht="15" hidden="false" customHeight="true" outlineLevel="0" collapsed="false">
      <c r="A20" s="5" t="s">
        <v>27</v>
      </c>
      <c r="B20" s="8" t="n">
        <v>4</v>
      </c>
      <c r="C20" s="3" t="s">
        <v>28</v>
      </c>
    </row>
    <row r="21" customFormat="false" ht="15" hidden="false" customHeight="true" outlineLevel="0" collapsed="false">
      <c r="A21" s="5" t="s">
        <v>29</v>
      </c>
      <c r="B21" s="8" t="n">
        <v>10</v>
      </c>
      <c r="C21" s="3" t="s">
        <v>30</v>
      </c>
    </row>
    <row r="22" customFormat="false" ht="15" hidden="false" customHeight="true" outlineLevel="0" collapsed="false">
      <c r="A22" s="5" t="s">
        <v>31</v>
      </c>
      <c r="B22" s="7" t="n">
        <v>0.04</v>
      </c>
      <c r="C22" s="3" t="s">
        <v>32</v>
      </c>
    </row>
    <row r="23" customFormat="false" ht="15" hidden="false" customHeight="true" outlineLevel="0" collapsed="false">
      <c r="A23" s="5" t="s">
        <v>33</v>
      </c>
      <c r="B23" s="6" t="n">
        <v>10</v>
      </c>
      <c r="C23" s="3" t="s">
        <v>34</v>
      </c>
    </row>
    <row r="24" customFormat="false" ht="15" hidden="false" customHeight="true" outlineLevel="0" collapsed="false">
      <c r="A24" s="5" t="s">
        <v>35</v>
      </c>
      <c r="B24" s="8" t="n">
        <v>7</v>
      </c>
      <c r="C24" s="3" t="s">
        <v>36</v>
      </c>
    </row>
    <row r="26" customFormat="false" ht="15" hidden="false" customHeight="true" outlineLevel="0" collapsed="false">
      <c r="A26" s="4" t="s">
        <v>37</v>
      </c>
      <c r="B26" s="4"/>
      <c r="C26" s="4"/>
    </row>
    <row r="27" customFormat="false" ht="15" hidden="false" customHeight="true" outlineLevel="0" collapsed="false">
      <c r="A27" s="5" t="s">
        <v>38</v>
      </c>
      <c r="B27" s="7" t="n">
        <v>0.8</v>
      </c>
      <c r="C27" s="3" t="s">
        <v>39</v>
      </c>
    </row>
    <row r="28" customFormat="false" ht="15" hidden="false" customHeight="true" outlineLevel="0" collapsed="false">
      <c r="A28" s="5" t="s">
        <v>40</v>
      </c>
      <c r="B28" s="7" t="n">
        <v>0.05</v>
      </c>
      <c r="C28" s="3" t="s">
        <v>41</v>
      </c>
    </row>
    <row r="29" customFormat="false" ht="15" hidden="false" customHeight="true" outlineLevel="0" collapsed="false">
      <c r="A29" s="5" t="s">
        <v>42</v>
      </c>
      <c r="B29" s="7" t="n">
        <v>0.15</v>
      </c>
      <c r="C29" s="3" t="s">
        <v>43</v>
      </c>
    </row>
    <row r="30" customFormat="false" ht="15" hidden="false" customHeight="true" outlineLevel="0" collapsed="false">
      <c r="A30" s="5" t="s">
        <v>44</v>
      </c>
      <c r="B30" s="8" t="n">
        <v>9</v>
      </c>
      <c r="C30" s="3" t="s">
        <v>45</v>
      </c>
    </row>
    <row r="31" customFormat="false" ht="15" hidden="false" customHeight="true" outlineLevel="0" collapsed="false">
      <c r="A31" s="5" t="s">
        <v>46</v>
      </c>
      <c r="B31" s="7" t="n">
        <v>0.02</v>
      </c>
      <c r="C31" s="3" t="s">
        <v>47</v>
      </c>
    </row>
    <row r="32" customFormat="false" ht="15" hidden="false" customHeight="true" outlineLevel="0" collapsed="false">
      <c r="A32" s="5" t="s">
        <v>48</v>
      </c>
      <c r="B32" s="8" t="n">
        <v>500</v>
      </c>
      <c r="C32" s="3" t="s">
        <v>49</v>
      </c>
    </row>
    <row r="33" customFormat="false" ht="15" hidden="false" customHeight="true" outlineLevel="0" collapsed="false">
      <c r="A33" s="5" t="s">
        <v>50</v>
      </c>
      <c r="B33" s="8" t="n">
        <v>2</v>
      </c>
      <c r="C33" s="3" t="s">
        <v>51</v>
      </c>
    </row>
    <row r="34" customFormat="false" ht="15" hidden="false" customHeight="true" outlineLevel="0" collapsed="false">
      <c r="A34" s="5" t="s">
        <v>52</v>
      </c>
      <c r="B34" s="7" t="n">
        <v>0.35</v>
      </c>
      <c r="C34" s="3" t="s">
        <v>53</v>
      </c>
    </row>
    <row r="36" customFormat="false" ht="15" hidden="false" customHeight="true" outlineLevel="0" collapsed="false">
      <c r="A36" s="4" t="s">
        <v>54</v>
      </c>
      <c r="B36" s="4"/>
      <c r="C36" s="4"/>
    </row>
    <row r="37" customFormat="false" ht="15" hidden="false" customHeight="true" outlineLevel="0" collapsed="false">
      <c r="A37" s="5" t="s">
        <v>55</v>
      </c>
      <c r="B37" s="6" t="n">
        <v>25</v>
      </c>
      <c r="C37" s="3" t="s">
        <v>56</v>
      </c>
    </row>
    <row r="38" customFormat="false" ht="15" hidden="false" customHeight="true" outlineLevel="0" collapsed="false">
      <c r="A38" s="5" t="s">
        <v>57</v>
      </c>
      <c r="B38" s="6" t="n">
        <v>20</v>
      </c>
      <c r="C38" s="3" t="s">
        <v>58</v>
      </c>
    </row>
    <row r="39" customFormat="false" ht="15" hidden="false" customHeight="true" outlineLevel="0" collapsed="false">
      <c r="A39" s="5" t="s">
        <v>59</v>
      </c>
      <c r="B39" s="6" t="n">
        <v>35</v>
      </c>
      <c r="C39" s="3" t="s">
        <v>60</v>
      </c>
    </row>
    <row r="40" customFormat="false" ht="15" hidden="false" customHeight="true" outlineLevel="0" collapsed="false">
      <c r="A40" s="5" t="s">
        <v>61</v>
      </c>
      <c r="B40" s="8" t="n">
        <v>9</v>
      </c>
      <c r="C40" s="3" t="s">
        <v>62</v>
      </c>
    </row>
    <row r="41" customFormat="false" ht="15" hidden="false" customHeight="true" outlineLevel="0" collapsed="false">
      <c r="A41" s="5" t="s">
        <v>63</v>
      </c>
      <c r="B41" s="9" t="n">
        <v>0.05</v>
      </c>
      <c r="C41" s="3" t="s">
        <v>64</v>
      </c>
    </row>
    <row r="42" customFormat="false" ht="15" hidden="false" customHeight="true" outlineLevel="0" collapsed="false">
      <c r="A42" s="5" t="s">
        <v>65</v>
      </c>
      <c r="B42" s="6" t="n">
        <v>15</v>
      </c>
      <c r="C42" s="3" t="s">
        <v>66</v>
      </c>
    </row>
    <row r="43" customFormat="false" ht="15" hidden="false" customHeight="true" outlineLevel="0" collapsed="false">
      <c r="A43" s="5" t="s">
        <v>67</v>
      </c>
      <c r="B43" s="6" t="n">
        <v>95</v>
      </c>
      <c r="C43" s="3" t="s">
        <v>68</v>
      </c>
    </row>
    <row r="44" customFormat="false" ht="15" hidden="false" customHeight="true" outlineLevel="0" collapsed="false">
      <c r="A44" s="5" t="s">
        <v>69</v>
      </c>
      <c r="B44" s="6" t="n">
        <v>23</v>
      </c>
      <c r="C44" s="3" t="s">
        <v>70</v>
      </c>
    </row>
    <row r="45" customFormat="false" ht="15" hidden="false" customHeight="true" outlineLevel="0" collapsed="false">
      <c r="A45" s="5" t="s">
        <v>71</v>
      </c>
      <c r="B45" s="8" t="n">
        <v>2000</v>
      </c>
      <c r="C45" s="3" t="s">
        <v>72</v>
      </c>
    </row>
    <row r="46" customFormat="false" ht="15" hidden="false" customHeight="true" outlineLevel="0" collapsed="false">
      <c r="A46" s="5" t="s">
        <v>73</v>
      </c>
      <c r="B46" s="6" t="n">
        <v>20</v>
      </c>
      <c r="C46" s="3" t="s">
        <v>74</v>
      </c>
    </row>
    <row r="48" customFormat="false" ht="15" hidden="false" customHeight="true" outlineLevel="0" collapsed="false">
      <c r="A48" s="4" t="s">
        <v>75</v>
      </c>
      <c r="B48" s="4"/>
      <c r="C48" s="4"/>
    </row>
    <row r="49" customFormat="false" ht="15" hidden="false" customHeight="true" outlineLevel="0" collapsed="false">
      <c r="A49" s="5" t="s">
        <v>76</v>
      </c>
      <c r="B49" s="6" t="n">
        <v>150</v>
      </c>
      <c r="C49" s="3" t="s">
        <v>77</v>
      </c>
    </row>
    <row r="50" customFormat="false" ht="15" hidden="false" customHeight="true" outlineLevel="0" collapsed="false">
      <c r="A50" s="5" t="s">
        <v>78</v>
      </c>
      <c r="B50" s="6" t="n">
        <v>40</v>
      </c>
      <c r="C50" s="3" t="s">
        <v>79</v>
      </c>
    </row>
    <row r="51" customFormat="false" ht="15" hidden="false" customHeight="true" outlineLevel="0" collapsed="false">
      <c r="A51" s="5" t="s">
        <v>80</v>
      </c>
      <c r="B51" s="6" t="n">
        <v>200</v>
      </c>
      <c r="C51" s="3" t="s">
        <v>81</v>
      </c>
    </row>
    <row r="52" customFormat="false" ht="15" hidden="false" customHeight="true" outlineLevel="0" collapsed="false">
      <c r="A52" s="5" t="s">
        <v>82</v>
      </c>
      <c r="B52" s="7" t="n">
        <v>0.3</v>
      </c>
      <c r="C52" s="3" t="s">
        <v>83</v>
      </c>
    </row>
    <row r="53" customFormat="false" ht="15" hidden="false" customHeight="true" outlineLevel="0" collapsed="false">
      <c r="A53" s="5" t="s">
        <v>84</v>
      </c>
      <c r="B53" s="6" t="n">
        <v>300</v>
      </c>
      <c r="C53" s="3" t="s">
        <v>85</v>
      </c>
    </row>
    <row r="54" customFormat="false" ht="15" hidden="false" customHeight="true" outlineLevel="0" collapsed="false">
      <c r="A54" s="5" t="s">
        <v>86</v>
      </c>
      <c r="B54" s="6" t="n">
        <v>300</v>
      </c>
      <c r="C54" s="3" t="s">
        <v>85</v>
      </c>
    </row>
    <row r="55" customFormat="false" ht="15" hidden="false" customHeight="true" outlineLevel="0" collapsed="false">
      <c r="A55" s="5" t="s">
        <v>87</v>
      </c>
      <c r="B55" s="7" t="n">
        <v>0.6</v>
      </c>
      <c r="C55" s="3" t="s">
        <v>88</v>
      </c>
    </row>
    <row r="56" customFormat="false" ht="15" hidden="false" customHeight="true" outlineLevel="0" collapsed="false">
      <c r="A56" s="4" t="s">
        <v>89</v>
      </c>
      <c r="B56" s="4"/>
      <c r="C56" s="4"/>
    </row>
    <row r="57" customFormat="false" ht="15" hidden="false" customHeight="true" outlineLevel="0" collapsed="false">
      <c r="A57" s="5" t="s">
        <v>90</v>
      </c>
      <c r="B57" s="6" t="n">
        <v>50</v>
      </c>
      <c r="C57" s="3" t="s">
        <v>91</v>
      </c>
    </row>
    <row r="58" customFormat="false" ht="15" hidden="false" customHeight="true" outlineLevel="0" collapsed="false">
      <c r="A58" s="5" t="s">
        <v>92</v>
      </c>
      <c r="B58" s="8" t="n">
        <v>18</v>
      </c>
      <c r="C58" s="3" t="s">
        <v>93</v>
      </c>
    </row>
    <row r="59" customFormat="false" ht="15" hidden="false" customHeight="true" outlineLevel="0" collapsed="false">
      <c r="A59" s="5" t="s">
        <v>94</v>
      </c>
      <c r="B59" s="6" t="n">
        <v>2500</v>
      </c>
      <c r="C59" s="3" t="s">
        <v>95</v>
      </c>
    </row>
    <row r="60" customFormat="false" ht="15" hidden="false" customHeight="true" outlineLevel="0" collapsed="false">
      <c r="A60" s="5" t="s">
        <v>96</v>
      </c>
      <c r="B60" s="6" t="n">
        <v>10000</v>
      </c>
      <c r="C60" s="3" t="s">
        <v>97</v>
      </c>
    </row>
  </sheetData>
  <mergeCells count="8">
    <mergeCell ref="A1:C1"/>
    <mergeCell ref="A4:C4"/>
    <mergeCell ref="A10:C10"/>
    <mergeCell ref="A19:C19"/>
    <mergeCell ref="A26:C26"/>
    <mergeCell ref="A36:C36"/>
    <mergeCell ref="A48:C48"/>
    <mergeCell ref="A56:C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8"/>
    <col collapsed="false" customWidth="true" hidden="false" outlineLevel="0" max="26" min="3" style="1" width="11"/>
  </cols>
  <sheetData>
    <row r="1" customFormat="false" ht="21.75" hidden="false" customHeight="true" outlineLevel="0" collapsed="false">
      <c r="A1" s="2" t="s">
        <v>98</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3" t="s">
        <v>99</v>
      </c>
      <c r="C2" s="10" t="n">
        <v>0</v>
      </c>
      <c r="D2" s="10" t="n">
        <v>1</v>
      </c>
      <c r="E2" s="10" t="n">
        <v>2</v>
      </c>
      <c r="F2" s="10" t="n">
        <v>3</v>
      </c>
      <c r="G2" s="10" t="n">
        <v>4</v>
      </c>
      <c r="H2" s="10" t="n">
        <v>5</v>
      </c>
      <c r="I2" s="10" t="n">
        <v>6</v>
      </c>
      <c r="J2" s="10" t="n">
        <v>7</v>
      </c>
      <c r="K2" s="10" t="n">
        <v>8</v>
      </c>
      <c r="L2" s="10" t="n">
        <v>9</v>
      </c>
      <c r="M2" s="10" t="n">
        <v>10</v>
      </c>
      <c r="N2" s="10" t="n">
        <v>11</v>
      </c>
      <c r="O2" s="10" t="n">
        <v>12</v>
      </c>
      <c r="P2" s="10" t="n">
        <v>13</v>
      </c>
      <c r="Q2" s="10" t="n">
        <v>14</v>
      </c>
      <c r="R2" s="10" t="n">
        <v>15</v>
      </c>
      <c r="S2" s="10" t="n">
        <v>16</v>
      </c>
      <c r="T2" s="10" t="n">
        <v>17</v>
      </c>
      <c r="U2" s="10" t="n">
        <v>18</v>
      </c>
      <c r="V2" s="10" t="n">
        <v>19</v>
      </c>
      <c r="W2" s="10" t="n">
        <v>20</v>
      </c>
      <c r="X2" s="10" t="n">
        <v>21</v>
      </c>
      <c r="Y2" s="10" t="n">
        <v>22</v>
      </c>
      <c r="Z2" s="10" t="n">
        <v>23</v>
      </c>
    </row>
    <row r="3" customFormat="false" ht="15" hidden="false" customHeight="true" outlineLevel="0" collapsed="false">
      <c r="A3" s="11" t="s">
        <v>100</v>
      </c>
      <c r="C3" s="12" t="str">
        <f aca="false">"M"&amp;C2</f>
        <v>M0</v>
      </c>
      <c r="D3" s="12" t="str">
        <f aca="false">"M"&amp;D2</f>
        <v>M1</v>
      </c>
      <c r="E3" s="12" t="str">
        <f aca="false">"M"&amp;E2</f>
        <v>M2</v>
      </c>
      <c r="F3" s="12" t="str">
        <f aca="false">"M"&amp;F2</f>
        <v>M3</v>
      </c>
      <c r="G3" s="12" t="str">
        <f aca="false">"M"&amp;G2</f>
        <v>M4</v>
      </c>
      <c r="H3" s="12" t="str">
        <f aca="false">"M"&amp;H2</f>
        <v>M5</v>
      </c>
      <c r="I3" s="12" t="str">
        <f aca="false">"M"&amp;I2</f>
        <v>M6</v>
      </c>
      <c r="J3" s="12" t="str">
        <f aca="false">"M"&amp;J2</f>
        <v>M7</v>
      </c>
      <c r="K3" s="12" t="str">
        <f aca="false">"M"&amp;K2</f>
        <v>M8</v>
      </c>
      <c r="L3" s="12" t="str">
        <f aca="false">"M"&amp;L2</f>
        <v>M9</v>
      </c>
      <c r="M3" s="12" t="str">
        <f aca="false">"M"&amp;M2</f>
        <v>M10</v>
      </c>
      <c r="N3" s="12" t="str">
        <f aca="false">"M"&amp;N2</f>
        <v>M11</v>
      </c>
      <c r="O3" s="12" t="str">
        <f aca="false">"M"&amp;O2</f>
        <v>M12</v>
      </c>
      <c r="P3" s="12" t="str">
        <f aca="false">"M"&amp;P2</f>
        <v>M13</v>
      </c>
      <c r="Q3" s="12" t="str">
        <f aca="false">"M"&amp;Q2</f>
        <v>M14</v>
      </c>
      <c r="R3" s="12" t="str">
        <f aca="false">"M"&amp;R2</f>
        <v>M15</v>
      </c>
      <c r="S3" s="12" t="str">
        <f aca="false">"M"&amp;S2</f>
        <v>M16</v>
      </c>
      <c r="T3" s="12" t="str">
        <f aca="false">"M"&amp;T2</f>
        <v>M17</v>
      </c>
      <c r="U3" s="12" t="str">
        <f aca="false">"M"&amp;U2</f>
        <v>M18</v>
      </c>
      <c r="V3" s="12" t="str">
        <f aca="false">"M"&amp;V2</f>
        <v>M19</v>
      </c>
      <c r="W3" s="12" t="str">
        <f aca="false">"M"&amp;W2</f>
        <v>M20</v>
      </c>
      <c r="X3" s="12" t="str">
        <f aca="false">"M"&amp;X2</f>
        <v>M21</v>
      </c>
      <c r="Y3" s="12" t="str">
        <f aca="false">"M"&amp;Y2</f>
        <v>M22</v>
      </c>
      <c r="Z3" s="12" t="str">
        <f aca="false">"M"&amp;Z2</f>
        <v>M23</v>
      </c>
    </row>
    <row r="5" customFormat="false" ht="15" hidden="false" customHeight="true" outlineLevel="0" collapsed="false">
      <c r="A5" s="4" t="s">
        <v>101</v>
      </c>
      <c r="B5" s="4"/>
      <c r="C5" s="4"/>
      <c r="D5" s="4"/>
      <c r="E5" s="4"/>
      <c r="F5" s="4"/>
      <c r="G5" s="4"/>
      <c r="H5" s="4"/>
      <c r="I5" s="4"/>
      <c r="J5" s="4"/>
      <c r="K5" s="4"/>
      <c r="L5" s="4"/>
      <c r="M5" s="4"/>
      <c r="N5" s="4"/>
      <c r="O5" s="4"/>
      <c r="P5" s="4"/>
      <c r="Q5" s="4"/>
      <c r="R5" s="4"/>
      <c r="S5" s="4"/>
      <c r="T5" s="4"/>
      <c r="U5" s="4"/>
      <c r="V5" s="4"/>
      <c r="W5" s="4"/>
      <c r="X5" s="4"/>
      <c r="Y5" s="4"/>
      <c r="Z5" s="4"/>
    </row>
    <row r="6" customFormat="false" ht="15" hidden="false" customHeight="true" outlineLevel="0" collapsed="false">
      <c r="A6" s="5" t="s">
        <v>102</v>
      </c>
      <c r="C6" s="13" t="n">
        <f aca="false">Assunzioni!$B$11</f>
        <v>10</v>
      </c>
      <c r="D6" s="13" t="n">
        <f aca="false">ROUND(C6*(1+Assunzioni!$B$12),0)</f>
        <v>10</v>
      </c>
      <c r="E6" s="13" t="n">
        <f aca="false">ROUND(D6*(1+Assunzioni!$B$12),0)</f>
        <v>10</v>
      </c>
      <c r="F6" s="13" t="n">
        <f aca="false">ROUND(E6*(1+Assunzioni!$B$12),0)</f>
        <v>10</v>
      </c>
      <c r="G6" s="13" t="n">
        <f aca="false">ROUND(F6*(1+Assunzioni!$B$12),0)</f>
        <v>10</v>
      </c>
      <c r="H6" s="13" t="n">
        <f aca="false">ROUND(G6*(1+Assunzioni!$B$12),0)</f>
        <v>10</v>
      </c>
      <c r="I6" s="13" t="n">
        <f aca="false">ROUND(H6*(1+Assunzioni!$B$12),0)</f>
        <v>10</v>
      </c>
      <c r="J6" s="13" t="n">
        <f aca="false">ROUND(I6*(1+Assunzioni!$B$12),0)</f>
        <v>10</v>
      </c>
      <c r="K6" s="13" t="n">
        <f aca="false">ROUND(J6*(1+Assunzioni!$B$12),0)</f>
        <v>10</v>
      </c>
      <c r="L6" s="13" t="n">
        <f aca="false">ROUND(K6*(1+Assunzioni!$B$12),0)</f>
        <v>10</v>
      </c>
      <c r="M6" s="13" t="n">
        <f aca="false">ROUND(L6*(1+Assunzioni!$B$12),0)</f>
        <v>10</v>
      </c>
      <c r="N6" s="13" t="n">
        <f aca="false">ROUND(M6*(1+Assunzioni!$B$12),0)</f>
        <v>10</v>
      </c>
      <c r="O6" s="13" t="n">
        <f aca="false">ROUND(N6*(1+Assunzioni!$B$12),0)</f>
        <v>10</v>
      </c>
      <c r="P6" s="13" t="n">
        <f aca="false">ROUND(O6*(1+Assunzioni!$B$12),0)</f>
        <v>10</v>
      </c>
      <c r="Q6" s="13" t="n">
        <f aca="false">ROUND(P6*(1+Assunzioni!$B$12),0)</f>
        <v>10</v>
      </c>
      <c r="R6" s="13" t="n">
        <f aca="false">ROUND(Q6*(1+Assunzioni!$B$12),0)</f>
        <v>10</v>
      </c>
      <c r="S6" s="13" t="n">
        <f aca="false">ROUND(R6*(1+Assunzioni!$B$12),0)</f>
        <v>10</v>
      </c>
      <c r="T6" s="13" t="n">
        <f aca="false">ROUND(S6*(1+Assunzioni!$B$12),0)</f>
        <v>10</v>
      </c>
      <c r="U6" s="13" t="n">
        <f aca="false">ROUND(T6*(1+Assunzioni!$B$12),0)</f>
        <v>10</v>
      </c>
      <c r="V6" s="13" t="n">
        <f aca="false">ROUND(U6*(1+Assunzioni!$B$12),0)</f>
        <v>10</v>
      </c>
      <c r="W6" s="13" t="n">
        <f aca="false">ROUND(V6*(1+Assunzioni!$B$12),0)</f>
        <v>10</v>
      </c>
      <c r="X6" s="13" t="n">
        <f aca="false">ROUND(W6*(1+Assunzioni!$B$12),0)</f>
        <v>10</v>
      </c>
      <c r="Y6" s="13" t="n">
        <f aca="false">ROUND(X6*(1+Assunzioni!$B$12),0)</f>
        <v>10</v>
      </c>
      <c r="Z6" s="13" t="n">
        <f aca="false">ROUND(Y6*(1+Assunzioni!$B$12),0)</f>
        <v>10</v>
      </c>
    </row>
    <row r="7" customFormat="false" ht="15" hidden="false" customHeight="true" outlineLevel="0" collapsed="false">
      <c r="A7" s="5" t="s">
        <v>103</v>
      </c>
      <c r="C7" s="13" t="n">
        <f aca="false">IF(C$2&gt;=Assunzioni!$B$16,Assunzioni!$B$14/Assunzioni!$B$15,0)</f>
        <v>0</v>
      </c>
      <c r="D7" s="13" t="n">
        <f aca="false">IF(D$2&gt;=Assunzioni!$B$16,Assunzioni!$B$14/Assunzioni!$B$15,0)</f>
        <v>25</v>
      </c>
      <c r="E7" s="13" t="n">
        <f aca="false">IF(E$2&gt;=Assunzioni!$B$16,Assunzioni!$B$14/Assunzioni!$B$15,0)</f>
        <v>25</v>
      </c>
      <c r="F7" s="13" t="n">
        <f aca="false">IF(F$2&gt;=Assunzioni!$B$16,Assunzioni!$B$14/Assunzioni!$B$15,0)</f>
        <v>25</v>
      </c>
      <c r="G7" s="13" t="n">
        <f aca="false">IF(G$2&gt;=Assunzioni!$B$16,Assunzioni!$B$14/Assunzioni!$B$15,0)</f>
        <v>25</v>
      </c>
      <c r="H7" s="13" t="n">
        <f aca="false">IF(H$2&gt;=Assunzioni!$B$16,Assunzioni!$B$14/Assunzioni!$B$15,0)</f>
        <v>25</v>
      </c>
      <c r="I7" s="13" t="n">
        <f aca="false">IF(I$2&gt;=Assunzioni!$B$16,Assunzioni!$B$14/Assunzioni!$B$15,0)</f>
        <v>25</v>
      </c>
      <c r="J7" s="13" t="n">
        <f aca="false">IF(J$2&gt;=Assunzioni!$B$16,Assunzioni!$B$14/Assunzioni!$B$15,0)</f>
        <v>25</v>
      </c>
      <c r="K7" s="13" t="n">
        <f aca="false">IF(K$2&gt;=Assunzioni!$B$16,Assunzioni!$B$14/Assunzioni!$B$15,0)</f>
        <v>25</v>
      </c>
      <c r="L7" s="13" t="n">
        <f aca="false">IF(L$2&gt;=Assunzioni!$B$16,Assunzioni!$B$14/Assunzioni!$B$15,0)</f>
        <v>25</v>
      </c>
      <c r="M7" s="13" t="n">
        <f aca="false">IF(M$2&gt;=Assunzioni!$B$16,Assunzioni!$B$14/Assunzioni!$B$15,0)</f>
        <v>25</v>
      </c>
      <c r="N7" s="13" t="n">
        <f aca="false">IF(N$2&gt;=Assunzioni!$B$16,Assunzioni!$B$14/Assunzioni!$B$15,0)</f>
        <v>25</v>
      </c>
      <c r="O7" s="13" t="n">
        <f aca="false">IF(O$2&gt;=Assunzioni!$B$16,Assunzioni!$B$14/Assunzioni!$B$15,0)</f>
        <v>25</v>
      </c>
      <c r="P7" s="13" t="n">
        <f aca="false">IF(P$2&gt;=Assunzioni!$B$16,Assunzioni!$B$14/Assunzioni!$B$15,0)</f>
        <v>25</v>
      </c>
      <c r="Q7" s="13" t="n">
        <f aca="false">IF(Q$2&gt;=Assunzioni!$B$16,Assunzioni!$B$14/Assunzioni!$B$15,0)</f>
        <v>25</v>
      </c>
      <c r="R7" s="13" t="n">
        <f aca="false">IF(R$2&gt;=Assunzioni!$B$16,Assunzioni!$B$14/Assunzioni!$B$15,0)</f>
        <v>25</v>
      </c>
      <c r="S7" s="13" t="n">
        <f aca="false">IF(S$2&gt;=Assunzioni!$B$16,Assunzioni!$B$14/Assunzioni!$B$15,0)</f>
        <v>25</v>
      </c>
      <c r="T7" s="13" t="n">
        <f aca="false">IF(T$2&gt;=Assunzioni!$B$16,Assunzioni!$B$14/Assunzioni!$B$15,0)</f>
        <v>25</v>
      </c>
      <c r="U7" s="13" t="n">
        <f aca="false">IF(U$2&gt;=Assunzioni!$B$16,Assunzioni!$B$14/Assunzioni!$B$15,0)</f>
        <v>25</v>
      </c>
      <c r="V7" s="13" t="n">
        <f aca="false">IF(V$2&gt;=Assunzioni!$B$16,Assunzioni!$B$14/Assunzioni!$B$15,0)</f>
        <v>25</v>
      </c>
      <c r="W7" s="13" t="n">
        <f aca="false">IF(W$2&gt;=Assunzioni!$B$16,Assunzioni!$B$14/Assunzioni!$B$15,0)</f>
        <v>25</v>
      </c>
      <c r="X7" s="13" t="n">
        <f aca="false">IF(X$2&gt;=Assunzioni!$B$16,Assunzioni!$B$14/Assunzioni!$B$15,0)</f>
        <v>25</v>
      </c>
      <c r="Y7" s="13" t="n">
        <f aca="false">IF(Y$2&gt;=Assunzioni!$B$16,Assunzioni!$B$14/Assunzioni!$B$15,0)</f>
        <v>25</v>
      </c>
      <c r="Z7" s="13" t="n">
        <f aca="false">IF(Z$2&gt;=Assunzioni!$B$16,Assunzioni!$B$14/Assunzioni!$B$15,0)</f>
        <v>25</v>
      </c>
    </row>
    <row r="8" customFormat="false" ht="15" hidden="false" customHeight="true" outlineLevel="0" collapsed="false">
      <c r="A8" s="5" t="s">
        <v>104</v>
      </c>
      <c r="C8" s="13" t="n">
        <f aca="false">IFERROR(C46/Assunzioni!$B$13,0)</f>
        <v>25</v>
      </c>
      <c r="D8" s="13" t="n">
        <f aca="false">IFERROR(D46/Assunzioni!$B$13,0)</f>
        <v>25</v>
      </c>
      <c r="E8" s="13" t="n">
        <f aca="false">IFERROR(E46/Assunzioni!$B$13,0)</f>
        <v>25</v>
      </c>
      <c r="F8" s="13" t="n">
        <f aca="false">IFERROR(F46/Assunzioni!$B$13,0)</f>
        <v>25</v>
      </c>
      <c r="G8" s="13" t="n">
        <f aca="false">IFERROR(G46/Assunzioni!$B$13,0)</f>
        <v>21.45</v>
      </c>
      <c r="H8" s="13" t="n">
        <f aca="false">IFERROR(H46/Assunzioni!$B$13,0)</f>
        <v>24.0831</v>
      </c>
      <c r="I8" s="13" t="n">
        <f aca="false">IFERROR(I46/Assunzioni!$B$13,0)</f>
        <v>27.1938238</v>
      </c>
      <c r="J8" s="13" t="n">
        <f aca="false">IFERROR(J46/Assunzioni!$B$13,0)</f>
        <v>30.8199771156</v>
      </c>
      <c r="K8" s="13" t="n">
        <f aca="false">IFERROR(K46/Assunzioni!$B$13,0)</f>
        <v>39.3881783538577</v>
      </c>
      <c r="L8" s="13" t="n">
        <f aca="false">IFERROR(L46/Assunzioni!$B$13,0)</f>
        <v>66.5599789076193</v>
      </c>
      <c r="M8" s="13" t="n">
        <f aca="false">IFERROR(M46/Assunzioni!$B$13,0)</f>
        <v>82.6740059941833</v>
      </c>
      <c r="N8" s="13" t="n">
        <f aca="false">IFERROR(N46/Assunzioni!$B$13,0)</f>
        <v>96.6249485732249</v>
      </c>
      <c r="O8" s="13" t="n">
        <f aca="false">IFERROR(O46/Assunzioni!$B$13,0)</f>
        <v>112.202850075834</v>
      </c>
      <c r="P8" s="13" t="n">
        <f aca="false">IFERROR(P46/Assunzioni!$B$13,0)</f>
        <v>129.597446451678</v>
      </c>
      <c r="Q8" s="13" t="n">
        <f aca="false">IFERROR(Q46/Assunzioni!$B$13,0)</f>
        <v>149.020600656873</v>
      </c>
      <c r="R8" s="13" t="n">
        <f aca="false">IFERROR(R46/Assunzioni!$B$13,0)</f>
        <v>170.708883105477</v>
      </c>
      <c r="S8" s="13" t="n">
        <f aca="false">IFERROR(S46/Assunzioni!$B$13,0)</f>
        <v>194.926453053238</v>
      </c>
      <c r="T8" s="13" t="n">
        <f aca="false">IFERROR(T46/Assunzioni!$B$13,0)</f>
        <v>221.968276008307</v>
      </c>
      <c r="U8" s="13" t="n">
        <f aca="false">IFERROR(U46/Assunzioni!$B$13,0)</f>
        <v>252.163716356396</v>
      </c>
      <c r="V8" s="13" t="n">
        <f aca="false">IFERROR(V46/Assunzioni!$B$13,0)</f>
        <v>285.880548957878</v>
      </c>
      <c r="W8" s="13" t="n">
        <f aca="false">IFERROR(W46/Assunzioni!$B$13,0)</f>
        <v>323.529438577346</v>
      </c>
      <c r="X8" s="13" t="n">
        <f aca="false">IFERROR(X46/Assunzioni!$B$13,0)</f>
        <v>365.568941704236</v>
      </c>
      <c r="Y8" s="13" t="n">
        <f aca="false">IFERROR(Y46/Assunzioni!$B$13,0)</f>
        <v>412.511091685784</v>
      </c>
      <c r="Z8" s="13" t="n">
        <f aca="false">IFERROR(Z46/Assunzioni!$B$13,0)</f>
        <v>464.92763519818</v>
      </c>
    </row>
    <row r="9" customFormat="false" ht="15" hidden="false" customHeight="true" outlineLevel="0" collapsed="false">
      <c r="A9" s="5" t="s">
        <v>105</v>
      </c>
      <c r="C9" s="13" t="n">
        <f aca="false">IF(C$2=Assunzioni!$B$20,Assunzioni!$B$21,0)</f>
        <v>0</v>
      </c>
      <c r="D9" s="13" t="n">
        <f aca="false">IF(D$2=Assunzioni!$B$20,Assunzioni!$B$21,IF(D$2&gt;Assunzioni!$B$20,ROUND(C9*(1+Assunzioni!$B$22),0),0))</f>
        <v>0</v>
      </c>
      <c r="E9" s="13" t="n">
        <f aca="false">IF(E$2=Assunzioni!$B$20,Assunzioni!$B$21,IF(E$2&gt;Assunzioni!$B$20,ROUND(D9*(1+Assunzioni!$B$22),0),0))</f>
        <v>0</v>
      </c>
      <c r="F9" s="13" t="n">
        <f aca="false">IF(F$2=Assunzioni!$B$20,Assunzioni!$B$21,IF(F$2&gt;Assunzioni!$B$20,ROUND(E9*(1+Assunzioni!$B$22),0),0))</f>
        <v>0</v>
      </c>
      <c r="G9" s="13" t="n">
        <f aca="false">IF(G$2=Assunzioni!$B$20,Assunzioni!$B$21,IF(G$2&gt;Assunzioni!$B$20,ROUND(F9*(1+Assunzioni!$B$22),0),0))</f>
        <v>10</v>
      </c>
      <c r="H9" s="13" t="n">
        <f aca="false">IF(H$2=Assunzioni!$B$20,Assunzioni!$B$21,IF(H$2&gt;Assunzioni!$B$20,ROUND(G9*(1+Assunzioni!$B$22),0),0))</f>
        <v>10</v>
      </c>
      <c r="I9" s="13" t="n">
        <f aca="false">IF(I$2=Assunzioni!$B$20,Assunzioni!$B$21,IF(I$2&gt;Assunzioni!$B$20,ROUND(H9*(1+Assunzioni!$B$22),0),0))</f>
        <v>10</v>
      </c>
      <c r="J9" s="13" t="n">
        <f aca="false">IF(J$2=Assunzioni!$B$20,Assunzioni!$B$21,IF(J$2&gt;Assunzioni!$B$20,ROUND(I9*(1+Assunzioni!$B$22),0),0))</f>
        <v>10</v>
      </c>
      <c r="K9" s="13" t="n">
        <f aca="false">IF(K$2=Assunzioni!$B$20,Assunzioni!$B$21,IF(K$2&gt;Assunzioni!$B$20,ROUND(J9*(1+Assunzioni!$B$22),0),0))</f>
        <v>10</v>
      </c>
      <c r="L9" s="13" t="n">
        <f aca="false">IF(L$2=Assunzioni!$B$20,Assunzioni!$B$21,IF(L$2&gt;Assunzioni!$B$20,ROUND(K9*(1+Assunzioni!$B$22),0),0))</f>
        <v>10</v>
      </c>
      <c r="M9" s="13" t="n">
        <f aca="false">IF(M$2=Assunzioni!$B$20,Assunzioni!$B$21,IF(M$2&gt;Assunzioni!$B$20,ROUND(L9*(1+Assunzioni!$B$22),0),0))</f>
        <v>10</v>
      </c>
      <c r="N9" s="13" t="n">
        <f aca="false">IF(N$2=Assunzioni!$B$20,Assunzioni!$B$21,IF(N$2&gt;Assunzioni!$B$20,ROUND(M9*(1+Assunzioni!$B$22),0),0))</f>
        <v>10</v>
      </c>
      <c r="O9" s="13" t="n">
        <f aca="false">IF(O$2=Assunzioni!$B$20,Assunzioni!$B$21,IF(O$2&gt;Assunzioni!$B$20,ROUND(N9*(1+Assunzioni!$B$22),0),0))</f>
        <v>10</v>
      </c>
      <c r="P9" s="13" t="n">
        <f aca="false">IF(P$2=Assunzioni!$B$20,Assunzioni!$B$21,IF(P$2&gt;Assunzioni!$B$20,ROUND(O9*(1+Assunzioni!$B$22),0),0))</f>
        <v>10</v>
      </c>
      <c r="Q9" s="13" t="n">
        <f aca="false">IF(Q$2=Assunzioni!$B$20,Assunzioni!$B$21,IF(Q$2&gt;Assunzioni!$B$20,ROUND(P9*(1+Assunzioni!$B$22),0),0))</f>
        <v>10</v>
      </c>
      <c r="R9" s="13" t="n">
        <f aca="false">IF(R$2=Assunzioni!$B$20,Assunzioni!$B$21,IF(R$2&gt;Assunzioni!$B$20,ROUND(Q9*(1+Assunzioni!$B$22),0),0))</f>
        <v>10</v>
      </c>
      <c r="S9" s="13" t="n">
        <f aca="false">IF(S$2=Assunzioni!$B$20,Assunzioni!$B$21,IF(S$2&gt;Assunzioni!$B$20,ROUND(R9*(1+Assunzioni!$B$22),0),0))</f>
        <v>10</v>
      </c>
      <c r="T9" s="13" t="n">
        <f aca="false">IF(T$2=Assunzioni!$B$20,Assunzioni!$B$21,IF(T$2&gt;Assunzioni!$B$20,ROUND(S9*(1+Assunzioni!$B$22),0),0))</f>
        <v>10</v>
      </c>
      <c r="U9" s="13" t="n">
        <f aca="false">IF(U$2=Assunzioni!$B$20,Assunzioni!$B$21,IF(U$2&gt;Assunzioni!$B$20,ROUND(T9*(1+Assunzioni!$B$22),0),0))</f>
        <v>10</v>
      </c>
      <c r="V9" s="13" t="n">
        <f aca="false">IF(V$2=Assunzioni!$B$20,Assunzioni!$B$21,IF(V$2&gt;Assunzioni!$B$20,ROUND(U9*(1+Assunzioni!$B$22),0),0))</f>
        <v>10</v>
      </c>
      <c r="W9" s="13" t="n">
        <f aca="false">IF(W$2=Assunzioni!$B$20,Assunzioni!$B$21,IF(W$2&gt;Assunzioni!$B$20,ROUND(V9*(1+Assunzioni!$B$22),0),0))</f>
        <v>10</v>
      </c>
      <c r="X9" s="13" t="n">
        <f aca="false">IF(X$2=Assunzioni!$B$20,Assunzioni!$B$21,IF(X$2&gt;Assunzioni!$B$20,ROUND(W9*(1+Assunzioni!$B$22),0),0))</f>
        <v>10</v>
      </c>
      <c r="Y9" s="13" t="n">
        <f aca="false">IF(Y$2=Assunzioni!$B$20,Assunzioni!$B$21,IF(Y$2&gt;Assunzioni!$B$20,ROUND(X9*(1+Assunzioni!$B$22),0),0))</f>
        <v>10</v>
      </c>
      <c r="Z9" s="13" t="n">
        <f aca="false">IF(Z$2=Assunzioni!$B$20,Assunzioni!$B$21,IF(Z$2&gt;Assunzioni!$B$20,ROUND(Y9*(1+Assunzioni!$B$22),0),0))</f>
        <v>10</v>
      </c>
    </row>
    <row r="10" customFormat="false" ht="15" hidden="false" customHeight="true" outlineLevel="0" collapsed="false">
      <c r="A10" s="5" t="s">
        <v>106</v>
      </c>
      <c r="C10" s="13" t="n">
        <f aca="false">IFERROR(C47/Assunzioni!$B$23,0)</f>
        <v>0</v>
      </c>
      <c r="D10" s="13" t="n">
        <f aca="false">IFERROR(D47/Assunzioni!$B$23,0)</f>
        <v>0</v>
      </c>
      <c r="E10" s="13" t="n">
        <f aca="false">IFERROR(E47/Assunzioni!$B$23,0)</f>
        <v>0</v>
      </c>
      <c r="F10" s="13" t="n">
        <f aca="false">IFERROR(F47/Assunzioni!$B$23,0)</f>
        <v>0</v>
      </c>
      <c r="G10" s="13" t="n">
        <f aca="false">IFERROR(G47/Assunzioni!$B$23,0)</f>
        <v>11.44</v>
      </c>
      <c r="H10" s="13" t="n">
        <f aca="false">IFERROR(H47/Assunzioni!$B$23,0)</f>
        <v>12.84432</v>
      </c>
      <c r="I10" s="13" t="n">
        <f aca="false">IFERROR(I47/Assunzioni!$B$23,0)</f>
        <v>14.5033726933333</v>
      </c>
      <c r="J10" s="13" t="n">
        <f aca="false">IFERROR(J47/Assunzioni!$B$23,0)</f>
        <v>16.43732112832</v>
      </c>
      <c r="K10" s="13" t="n">
        <f aca="false">IFERROR(K47/Assunzioni!$B$23,0)</f>
        <v>21.0070284553907</v>
      </c>
      <c r="L10" s="13" t="n">
        <f aca="false">IFERROR(L47/Assunzioni!$B$23,0)</f>
        <v>35.498655417397</v>
      </c>
      <c r="M10" s="13" t="n">
        <f aca="false">IFERROR(M47/Assunzioni!$B$23,0)</f>
        <v>44.0928031968977</v>
      </c>
      <c r="N10" s="13" t="n">
        <f aca="false">IFERROR(N47/Assunzioni!$B$23,0)</f>
        <v>51.5333059057199</v>
      </c>
      <c r="O10" s="13" t="n">
        <f aca="false">IFERROR(O47/Assunzioni!$B$23,0)</f>
        <v>59.841520040445</v>
      </c>
      <c r="P10" s="13" t="n">
        <f aca="false">IFERROR(P47/Assunzioni!$B$23,0)</f>
        <v>69.1186381075617</v>
      </c>
      <c r="Q10" s="13" t="n">
        <f aca="false">IFERROR(Q47/Assunzioni!$B$23,0)</f>
        <v>79.4776536836656</v>
      </c>
      <c r="R10" s="13" t="n">
        <f aca="false">IFERROR(R47/Assunzioni!$B$23,0)</f>
        <v>91.0447376562546</v>
      </c>
      <c r="S10" s="13" t="n">
        <f aca="false">IFERROR(S47/Assunzioni!$B$23,0)</f>
        <v>103.960774961727</v>
      </c>
      <c r="T10" s="13" t="n">
        <f aca="false">IFERROR(T47/Assunzioni!$B$23,0)</f>
        <v>118.383080537764</v>
      </c>
      <c r="U10" s="13" t="n">
        <f aca="false">IFERROR(U47/Assunzioni!$B$23,0)</f>
        <v>134.487315390078</v>
      </c>
      <c r="V10" s="13" t="n">
        <f aca="false">IFERROR(V47/Assunzioni!$B$23,0)</f>
        <v>152.469626110869</v>
      </c>
      <c r="W10" s="13" t="n">
        <f aca="false">IFERROR(W47/Assunzioni!$B$23,0)</f>
        <v>172.549033907918</v>
      </c>
      <c r="X10" s="13" t="n">
        <f aca="false">IFERROR(X47/Assunzioni!$B$23,0)</f>
        <v>194.970102242259</v>
      </c>
      <c r="Y10" s="13" t="n">
        <f aca="false">IFERROR(Y47/Assunzioni!$B$23,0)</f>
        <v>220.005915565752</v>
      </c>
      <c r="Z10" s="13" t="n">
        <f aca="false">IFERROR(Z47/Assunzioni!$B$23,0)</f>
        <v>247.96140543903</v>
      </c>
    </row>
    <row r="11" customFormat="false" ht="15" hidden="false" customHeight="true" outlineLevel="0" collapsed="false">
      <c r="A11" s="11" t="s">
        <v>107</v>
      </c>
      <c r="C11" s="14" t="n">
        <f aca="false">SUM(C6:C10)</f>
        <v>35</v>
      </c>
      <c r="D11" s="14" t="n">
        <f aca="false">SUM(D6:D10)</f>
        <v>60</v>
      </c>
      <c r="E11" s="14" t="n">
        <f aca="false">SUM(E6:E10)</f>
        <v>60</v>
      </c>
      <c r="F11" s="14" t="n">
        <f aca="false">SUM(F6:F10)</f>
        <v>60</v>
      </c>
      <c r="G11" s="14" t="n">
        <f aca="false">SUM(G6:G10)</f>
        <v>77.89</v>
      </c>
      <c r="H11" s="14" t="n">
        <f aca="false">SUM(H6:H10)</f>
        <v>81.92742</v>
      </c>
      <c r="I11" s="14" t="n">
        <f aca="false">SUM(I6:I10)</f>
        <v>86.6971964933333</v>
      </c>
      <c r="J11" s="14" t="n">
        <f aca="false">SUM(J6:J10)</f>
        <v>92.25729824392</v>
      </c>
      <c r="K11" s="14" t="n">
        <f aca="false">SUM(K6:K10)</f>
        <v>105.395206809248</v>
      </c>
      <c r="L11" s="14" t="n">
        <f aca="false">SUM(L6:L10)</f>
        <v>147.058634325016</v>
      </c>
      <c r="M11" s="14" t="n">
        <f aca="false">SUM(M6:M10)</f>
        <v>171.766809191081</v>
      </c>
      <c r="N11" s="14" t="n">
        <f aca="false">SUM(N6:N10)</f>
        <v>193.158254478945</v>
      </c>
      <c r="O11" s="14" t="n">
        <f aca="false">SUM(O6:O10)</f>
        <v>217.044370116279</v>
      </c>
      <c r="P11" s="14" t="n">
        <f aca="false">SUM(P6:P10)</f>
        <v>243.71608455924</v>
      </c>
      <c r="Q11" s="14" t="n">
        <f aca="false">SUM(Q6:Q10)</f>
        <v>273.498254340538</v>
      </c>
      <c r="R11" s="14" t="n">
        <f aca="false">SUM(R6:R10)</f>
        <v>306.753620761732</v>
      </c>
      <c r="S11" s="14" t="n">
        <f aca="false">SUM(S6:S10)</f>
        <v>343.887228014965</v>
      </c>
      <c r="T11" s="14" t="n">
        <f aca="false">SUM(T6:T10)</f>
        <v>385.35135654607</v>
      </c>
      <c r="U11" s="14" t="n">
        <f aca="false">SUM(U6:U10)</f>
        <v>431.651031746473</v>
      </c>
      <c r="V11" s="14" t="n">
        <f aca="false">SUM(V6:V10)</f>
        <v>483.350175068747</v>
      </c>
      <c r="W11" s="14" t="n">
        <f aca="false">SUM(W6:W10)</f>
        <v>541.078472485264</v>
      </c>
      <c r="X11" s="14" t="n">
        <f aca="false">SUM(X6:X10)</f>
        <v>605.539043946496</v>
      </c>
      <c r="Y11" s="14" t="n">
        <f aca="false">SUM(Y6:Y10)</f>
        <v>677.517007251536</v>
      </c>
      <c r="Z11" s="14" t="n">
        <f aca="false">SUM(Z6:Z10)</f>
        <v>757.88904063721</v>
      </c>
    </row>
    <row r="12" customFormat="false" ht="15" hidden="false" customHeight="true" outlineLevel="0" collapsed="false">
      <c r="A12" s="5" t="s">
        <v>108</v>
      </c>
      <c r="C12" s="13" t="n">
        <f aca="false">C6+C7+C8</f>
        <v>35</v>
      </c>
      <c r="D12" s="13" t="n">
        <f aca="false">C12+D6+D7+D8</f>
        <v>95</v>
      </c>
      <c r="E12" s="13" t="n">
        <f aca="false">D12+E6+E7+E8</f>
        <v>155</v>
      </c>
      <c r="F12" s="13" t="n">
        <f aca="false">E12+F6+F7+F8</f>
        <v>215</v>
      </c>
      <c r="G12" s="13" t="n">
        <f aca="false">F12+G6+G7+G8</f>
        <v>271.45</v>
      </c>
      <c r="H12" s="13" t="n">
        <f aca="false">G12+H6+H7+H8</f>
        <v>330.5331</v>
      </c>
      <c r="I12" s="13" t="n">
        <f aca="false">H12+I6+I7+I8</f>
        <v>392.7269238</v>
      </c>
      <c r="J12" s="13" t="n">
        <f aca="false">I12+J6+J7+J8</f>
        <v>458.5469009156</v>
      </c>
      <c r="K12" s="13" t="n">
        <f aca="false">J12+K6+K7+K8</f>
        <v>532.935079269458</v>
      </c>
      <c r="L12" s="13" t="n">
        <f aca="false">K12+L6+L7+L8</f>
        <v>634.495058177077</v>
      </c>
      <c r="M12" s="13" t="n">
        <f aca="false">L12+M6+M7+M8</f>
        <v>752.16906417126</v>
      </c>
      <c r="N12" s="13" t="n">
        <f aca="false">M12+N6+N7+N8</f>
        <v>883.794012744485</v>
      </c>
      <c r="O12" s="13" t="n">
        <f aca="false">N12+O6+O7+O8</f>
        <v>1030.99686282032</v>
      </c>
      <c r="P12" s="13" t="n">
        <f aca="false">O12+P6+P7+P8</f>
        <v>1195.594309272</v>
      </c>
      <c r="Q12" s="13" t="n">
        <f aca="false">P12+Q6+Q7+Q8</f>
        <v>1379.61490992887</v>
      </c>
      <c r="R12" s="13" t="n">
        <f aca="false">Q12+R6+R7+R8</f>
        <v>1585.32379303435</v>
      </c>
      <c r="S12" s="13" t="n">
        <f aca="false">R12+S6+S7+S8</f>
        <v>1815.25024608759</v>
      </c>
      <c r="T12" s="13" t="n">
        <f aca="false">S12+T6+T7+T8</f>
        <v>2072.21852209589</v>
      </c>
      <c r="U12" s="13" t="n">
        <f aca="false">T12+U6+U7+U8</f>
        <v>2359.38223845229</v>
      </c>
      <c r="V12" s="13" t="n">
        <f aca="false">U12+V6+V7+V8</f>
        <v>2680.26278741017</v>
      </c>
      <c r="W12" s="13" t="n">
        <f aca="false">V12+W6+W7+W8</f>
        <v>3038.79222598751</v>
      </c>
      <c r="X12" s="13" t="n">
        <f aca="false">W12+X6+X7+X8</f>
        <v>3439.36116769175</v>
      </c>
      <c r="Y12" s="13" t="n">
        <f aca="false">X12+Y6+Y7+Y8</f>
        <v>3886.87225937753</v>
      </c>
      <c r="Z12" s="13" t="n">
        <f aca="false">Y12+Z6+Z7+Z8</f>
        <v>4386.79989457571</v>
      </c>
    </row>
    <row r="13" customFormat="false" ht="15" hidden="false" customHeight="true" outlineLevel="0" collapsed="false">
      <c r="A13" s="5" t="s">
        <v>109</v>
      </c>
      <c r="C13" s="13" t="n">
        <f aca="false">C9+C10</f>
        <v>0</v>
      </c>
      <c r="D13" s="13" t="n">
        <f aca="false">C13+D9+D10</f>
        <v>0</v>
      </c>
      <c r="E13" s="13" t="n">
        <f aca="false">D13+E9+E10</f>
        <v>0</v>
      </c>
      <c r="F13" s="13" t="n">
        <f aca="false">E13+F9+F10</f>
        <v>0</v>
      </c>
      <c r="G13" s="13" t="n">
        <f aca="false">F13+G9+G10</f>
        <v>21.44</v>
      </c>
      <c r="H13" s="13" t="n">
        <f aca="false">G13+H9+H10</f>
        <v>44.28432</v>
      </c>
      <c r="I13" s="13" t="n">
        <f aca="false">H13+I9+I10</f>
        <v>68.7876926933333</v>
      </c>
      <c r="J13" s="13" t="n">
        <f aca="false">I13+J9+J10</f>
        <v>95.2250138216533</v>
      </c>
      <c r="K13" s="13" t="n">
        <f aca="false">J13+K9+K10</f>
        <v>126.232042277044</v>
      </c>
      <c r="L13" s="13" t="n">
        <f aca="false">K13+L9+L10</f>
        <v>171.730697694441</v>
      </c>
      <c r="M13" s="13" t="n">
        <f aca="false">L13+M9+M10</f>
        <v>225.823500891339</v>
      </c>
      <c r="N13" s="13" t="n">
        <f aca="false">M13+N9+N10</f>
        <v>287.356806797059</v>
      </c>
      <c r="O13" s="13" t="n">
        <f aca="false">N13+O9+O10</f>
        <v>357.198326837504</v>
      </c>
      <c r="P13" s="13" t="n">
        <f aca="false">O13+P9+P10</f>
        <v>436.316964945066</v>
      </c>
      <c r="Q13" s="13" t="n">
        <f aca="false">P13+Q9+Q10</f>
        <v>525.794618628731</v>
      </c>
      <c r="R13" s="13" t="n">
        <f aca="false">Q13+R9+R10</f>
        <v>626.839356284986</v>
      </c>
      <c r="S13" s="13" t="n">
        <f aca="false">R13+S9+S10</f>
        <v>740.800131246713</v>
      </c>
      <c r="T13" s="13" t="n">
        <f aca="false">S13+T9+T10</f>
        <v>869.183211784476</v>
      </c>
      <c r="U13" s="13" t="n">
        <f aca="false">T13+U9+U10</f>
        <v>1013.67052717455</v>
      </c>
      <c r="V13" s="13" t="n">
        <f aca="false">U13+V9+V10</f>
        <v>1176.14015328542</v>
      </c>
      <c r="W13" s="13" t="n">
        <f aca="false">V13+W9+W10</f>
        <v>1358.68918719334</v>
      </c>
      <c r="X13" s="13" t="n">
        <f aca="false">W13+X9+X10</f>
        <v>1563.6592894356</v>
      </c>
      <c r="Y13" s="13" t="n">
        <f aca="false">X13+Y9+Y10</f>
        <v>1793.66520500135</v>
      </c>
      <c r="Z13" s="13" t="n">
        <f aca="false">Y13+Z9+Z10</f>
        <v>2051.62661044038</v>
      </c>
    </row>
    <row r="14" customFormat="false" ht="15" hidden="false" customHeight="true" outlineLevel="0" collapsed="false">
      <c r="A14" s="11" t="s">
        <v>110</v>
      </c>
      <c r="C14" s="14" t="n">
        <f aca="false">C12+C13</f>
        <v>35</v>
      </c>
      <c r="D14" s="14" t="n">
        <f aca="false">D12+D13</f>
        <v>95</v>
      </c>
      <c r="E14" s="14" t="n">
        <f aca="false">E12+E13</f>
        <v>155</v>
      </c>
      <c r="F14" s="14" t="n">
        <f aca="false">F12+F13</f>
        <v>215</v>
      </c>
      <c r="G14" s="14" t="n">
        <f aca="false">G12+G13</f>
        <v>292.89</v>
      </c>
      <c r="H14" s="14" t="n">
        <f aca="false">H12+H13</f>
        <v>374.81742</v>
      </c>
      <c r="I14" s="14" t="n">
        <f aca="false">I12+I13</f>
        <v>461.514616493333</v>
      </c>
      <c r="J14" s="14" t="n">
        <f aca="false">J12+J13</f>
        <v>553.771914737253</v>
      </c>
      <c r="K14" s="14" t="n">
        <f aca="false">K12+K13</f>
        <v>659.167121546502</v>
      </c>
      <c r="L14" s="14" t="n">
        <f aca="false">L12+L13</f>
        <v>806.225755871518</v>
      </c>
      <c r="M14" s="14" t="n">
        <f aca="false">M12+M13</f>
        <v>977.992565062599</v>
      </c>
      <c r="N14" s="14" t="n">
        <f aca="false">N12+N13</f>
        <v>1171.15081954154</v>
      </c>
      <c r="O14" s="14" t="n">
        <f aca="false">O12+O13</f>
        <v>1388.19518965782</v>
      </c>
      <c r="P14" s="14" t="n">
        <f aca="false">P12+P13</f>
        <v>1631.91127421706</v>
      </c>
      <c r="Q14" s="14" t="n">
        <f aca="false">Q12+Q13</f>
        <v>1905.4095285576</v>
      </c>
      <c r="R14" s="14" t="n">
        <f aca="false">R12+R13</f>
        <v>2212.16314931933</v>
      </c>
      <c r="S14" s="14" t="n">
        <f aca="false">S12+S13</f>
        <v>2556.0503773343</v>
      </c>
      <c r="T14" s="14" t="n">
        <f aca="false">T12+T13</f>
        <v>2941.40173388037</v>
      </c>
      <c r="U14" s="14" t="n">
        <f aca="false">U12+U13</f>
        <v>3373.05276562684</v>
      </c>
      <c r="V14" s="14" t="n">
        <f aca="false">V12+V13</f>
        <v>3856.40294069559</v>
      </c>
      <c r="W14" s="14" t="n">
        <f aca="false">W12+W13</f>
        <v>4397.48141318085</v>
      </c>
      <c r="X14" s="14" t="n">
        <f aca="false">X12+X13</f>
        <v>5003.02045712735</v>
      </c>
      <c r="Y14" s="14" t="n">
        <f aca="false">Y12+Y13</f>
        <v>5680.53746437889</v>
      </c>
      <c r="Z14" s="14" t="n">
        <f aca="false">Z12+Z13</f>
        <v>6438.4265050161</v>
      </c>
    </row>
    <row r="15" customFormat="false" ht="15" hidden="false" customHeight="true" outlineLevel="0" collapsed="false">
      <c r="A15" s="5" t="s">
        <v>111</v>
      </c>
      <c r="C15" s="13" t="n">
        <f aca="false">IF(C$2&gt;=Assunzioni!$B$17,C12*Assunzioni!$B$27,0)</f>
        <v>0</v>
      </c>
      <c r="D15" s="13" t="n">
        <f aca="false">IF(D$2&gt;=Assunzioni!$B$17,D12*Assunzioni!$B$27,0)</f>
        <v>0</v>
      </c>
      <c r="E15" s="13" t="n">
        <f aca="false">IF(E$2&gt;=Assunzioni!$B$17,E12*Assunzioni!$B$27,0)</f>
        <v>0</v>
      </c>
      <c r="F15" s="13" t="n">
        <f aca="false">IF(F$2&gt;=Assunzioni!$B$17,F12*Assunzioni!$B$27,0)</f>
        <v>172</v>
      </c>
      <c r="G15" s="13" t="n">
        <f aca="false">IF(G$2&gt;=Assunzioni!$B$17,G12*Assunzioni!$B$27,0)</f>
        <v>217.16</v>
      </c>
      <c r="H15" s="13" t="n">
        <f aca="false">IF(H$2&gt;=Assunzioni!$B$17,H12*Assunzioni!$B$27,0)</f>
        <v>264.42648</v>
      </c>
      <c r="I15" s="13" t="n">
        <f aca="false">IF(I$2&gt;=Assunzioni!$B$17,I12*Assunzioni!$B$27,0)</f>
        <v>314.18153904</v>
      </c>
      <c r="J15" s="13" t="n">
        <f aca="false">IF(J$2&gt;=Assunzioni!$B$17,J12*Assunzioni!$B$27,0)</f>
        <v>366.83752073248</v>
      </c>
      <c r="K15" s="13" t="n">
        <f aca="false">IF(K$2&gt;=Assunzioni!$B$17,K12*Assunzioni!$B$27,0)</f>
        <v>426.348063415566</v>
      </c>
      <c r="L15" s="13" t="n">
        <f aca="false">IF(L$2&gt;=Assunzioni!$B$17,L12*Assunzioni!$B$27,0)</f>
        <v>507.596046541662</v>
      </c>
      <c r="M15" s="13" t="n">
        <f aca="false">IF(M$2&gt;=Assunzioni!$B$17,M12*Assunzioni!$B$27,0)</f>
        <v>601.735251337008</v>
      </c>
      <c r="N15" s="13" t="n">
        <f aca="false">IF(N$2&gt;=Assunzioni!$B$17,N12*Assunzioni!$B$27,0)</f>
        <v>707.035210195588</v>
      </c>
      <c r="O15" s="13" t="n">
        <f aca="false">IF(O$2&gt;=Assunzioni!$B$17,O12*Assunzioni!$B$27,0)</f>
        <v>824.797490256256</v>
      </c>
      <c r="P15" s="13" t="n">
        <f aca="false">IF(P$2&gt;=Assunzioni!$B$17,P12*Assunzioni!$B$27,0)</f>
        <v>956.475447417598</v>
      </c>
      <c r="Q15" s="13" t="n">
        <f aca="false">IF(Q$2&gt;=Assunzioni!$B$17,Q12*Assunzioni!$B$27,0)</f>
        <v>1103.6919279431</v>
      </c>
      <c r="R15" s="13" t="n">
        <f aca="false">IF(R$2&gt;=Assunzioni!$B$17,R12*Assunzioni!$B$27,0)</f>
        <v>1268.25903442748</v>
      </c>
      <c r="S15" s="13" t="n">
        <f aca="false">IF(S$2&gt;=Assunzioni!$B$17,S12*Assunzioni!$B$27,0)</f>
        <v>1452.20019687007</v>
      </c>
      <c r="T15" s="13" t="n">
        <f aca="false">IF(T$2&gt;=Assunzioni!$B$17,T12*Assunzioni!$B$27,0)</f>
        <v>1657.77481767671</v>
      </c>
      <c r="U15" s="13" t="n">
        <f aca="false">IF(U$2&gt;=Assunzioni!$B$17,U12*Assunzioni!$B$27,0)</f>
        <v>1887.50579076183</v>
      </c>
      <c r="V15" s="13" t="n">
        <f aca="false">IF(V$2&gt;=Assunzioni!$B$17,V12*Assunzioni!$B$27,0)</f>
        <v>2144.21022992813</v>
      </c>
      <c r="W15" s="13" t="n">
        <f aca="false">IF(W$2&gt;=Assunzioni!$B$17,W12*Assunzioni!$B$27,0)</f>
        <v>2431.03378079001</v>
      </c>
      <c r="X15" s="13" t="n">
        <f aca="false">IF(X$2&gt;=Assunzioni!$B$17,X12*Assunzioni!$B$27,0)</f>
        <v>2751.4889341534</v>
      </c>
      <c r="Y15" s="13" t="n">
        <f aca="false">IF(Y$2&gt;=Assunzioni!$B$17,Y12*Assunzioni!$B$27,0)</f>
        <v>3109.49780750203</v>
      </c>
      <c r="Z15" s="13" t="n">
        <f aca="false">IF(Z$2&gt;=Assunzioni!$B$17,Z12*Assunzioni!$B$27,0)</f>
        <v>3509.43991566057</v>
      </c>
    </row>
    <row r="16" customFormat="false" ht="15" hidden="false" customHeight="true" outlineLevel="0" collapsed="false">
      <c r="A16" s="5" t="s">
        <v>112</v>
      </c>
      <c r="C16" s="13" t="n">
        <f aca="false">IF(C$2&gt;=Assunzioni!$B$24,C13*Assunzioni!$B$27,0)</f>
        <v>0</v>
      </c>
      <c r="D16" s="13" t="n">
        <f aca="false">IF(D$2&gt;=Assunzioni!$B$24,D13*Assunzioni!$B$27,0)</f>
        <v>0</v>
      </c>
      <c r="E16" s="13" t="n">
        <f aca="false">IF(E$2&gt;=Assunzioni!$B$24,E13*Assunzioni!$B$27,0)</f>
        <v>0</v>
      </c>
      <c r="F16" s="13" t="n">
        <f aca="false">IF(F$2&gt;=Assunzioni!$B$24,F13*Assunzioni!$B$27,0)</f>
        <v>0</v>
      </c>
      <c r="G16" s="13" t="n">
        <f aca="false">IF(G$2&gt;=Assunzioni!$B$24,G13*Assunzioni!$B$27,0)</f>
        <v>0</v>
      </c>
      <c r="H16" s="13" t="n">
        <f aca="false">IF(H$2&gt;=Assunzioni!$B$24,H13*Assunzioni!$B$27,0)</f>
        <v>0</v>
      </c>
      <c r="I16" s="13" t="n">
        <f aca="false">IF(I$2&gt;=Assunzioni!$B$24,I13*Assunzioni!$B$27,0)</f>
        <v>0</v>
      </c>
      <c r="J16" s="13" t="n">
        <f aca="false">IF(J$2&gt;=Assunzioni!$B$24,J13*Assunzioni!$B$27,0)</f>
        <v>76.1800110573227</v>
      </c>
      <c r="K16" s="13" t="n">
        <f aca="false">IF(K$2&gt;=Assunzioni!$B$24,K13*Assunzioni!$B$27,0)</f>
        <v>100.985633821635</v>
      </c>
      <c r="L16" s="13" t="n">
        <f aca="false">IF(L$2&gt;=Assunzioni!$B$24,L13*Assunzioni!$B$27,0)</f>
        <v>137.384558155553</v>
      </c>
      <c r="M16" s="13" t="n">
        <f aca="false">IF(M$2&gt;=Assunzioni!$B$24,M13*Assunzioni!$B$27,0)</f>
        <v>180.658800713071</v>
      </c>
      <c r="N16" s="13" t="n">
        <f aca="false">IF(N$2&gt;=Assunzioni!$B$24,N13*Assunzioni!$B$27,0)</f>
        <v>229.885445437647</v>
      </c>
      <c r="O16" s="13" t="n">
        <f aca="false">IF(O$2&gt;=Assunzioni!$B$24,O13*Assunzioni!$B$27,0)</f>
        <v>285.758661470003</v>
      </c>
      <c r="P16" s="13" t="n">
        <f aca="false">IF(P$2&gt;=Assunzioni!$B$24,P13*Assunzioni!$B$27,0)</f>
        <v>349.053571956052</v>
      </c>
      <c r="Q16" s="13" t="n">
        <f aca="false">IF(Q$2&gt;=Assunzioni!$B$24,Q13*Assunzioni!$B$27,0)</f>
        <v>420.635694902985</v>
      </c>
      <c r="R16" s="13" t="n">
        <f aca="false">IF(R$2&gt;=Assunzioni!$B$24,R13*Assunzioni!$B$27,0)</f>
        <v>501.471485027989</v>
      </c>
      <c r="S16" s="13" t="n">
        <f aca="false">IF(S$2&gt;=Assunzioni!$B$24,S13*Assunzioni!$B$27,0)</f>
        <v>592.64010499737</v>
      </c>
      <c r="T16" s="13" t="n">
        <f aca="false">IF(T$2&gt;=Assunzioni!$B$24,T13*Assunzioni!$B$27,0)</f>
        <v>695.346569427581</v>
      </c>
      <c r="U16" s="13" t="n">
        <f aca="false">IF(U$2&gt;=Assunzioni!$B$24,U13*Assunzioni!$B$27,0)</f>
        <v>810.936421739643</v>
      </c>
      <c r="V16" s="13" t="n">
        <f aca="false">IF(V$2&gt;=Assunzioni!$B$24,V13*Assunzioni!$B$27,0)</f>
        <v>940.912122628338</v>
      </c>
      <c r="W16" s="13" t="n">
        <f aca="false">IF(W$2&gt;=Assunzioni!$B$24,W13*Assunzioni!$B$27,0)</f>
        <v>1086.95134975467</v>
      </c>
      <c r="X16" s="13" t="n">
        <f aca="false">IF(X$2&gt;=Assunzioni!$B$24,X13*Assunzioni!$B$27,0)</f>
        <v>1250.92743154848</v>
      </c>
      <c r="Y16" s="13" t="n">
        <f aca="false">IF(Y$2&gt;=Assunzioni!$B$24,Y13*Assunzioni!$B$27,0)</f>
        <v>1434.93216400108</v>
      </c>
      <c r="Z16" s="13" t="n">
        <f aca="false">IF(Z$2&gt;=Assunzioni!$B$24,Z13*Assunzioni!$B$27,0)</f>
        <v>1641.3012883523</v>
      </c>
    </row>
    <row r="17" customFormat="false" ht="15" hidden="false" customHeight="true" outlineLevel="0" collapsed="false">
      <c r="A17" s="11" t="s">
        <v>113</v>
      </c>
      <c r="C17" s="14" t="n">
        <f aca="false">C15+C16</f>
        <v>0</v>
      </c>
      <c r="D17" s="14" t="n">
        <f aca="false">D15+D16</f>
        <v>0</v>
      </c>
      <c r="E17" s="14" t="n">
        <f aca="false">E15+E16</f>
        <v>0</v>
      </c>
      <c r="F17" s="14" t="n">
        <f aca="false">F15+F16</f>
        <v>172</v>
      </c>
      <c r="G17" s="14" t="n">
        <f aca="false">G15+G16</f>
        <v>217.16</v>
      </c>
      <c r="H17" s="14" t="n">
        <f aca="false">H15+H16</f>
        <v>264.42648</v>
      </c>
      <c r="I17" s="14" t="n">
        <f aca="false">I15+I16</f>
        <v>314.18153904</v>
      </c>
      <c r="J17" s="14" t="n">
        <f aca="false">J15+J16</f>
        <v>443.017531789803</v>
      </c>
      <c r="K17" s="14" t="n">
        <f aca="false">K15+K16</f>
        <v>527.333697237202</v>
      </c>
      <c r="L17" s="14" t="n">
        <f aca="false">L15+L16</f>
        <v>644.980604697215</v>
      </c>
      <c r="M17" s="14" t="n">
        <f aca="false">M15+M16</f>
        <v>782.394052050079</v>
      </c>
      <c r="N17" s="14" t="n">
        <f aca="false">N15+N16</f>
        <v>936.920655633235</v>
      </c>
      <c r="O17" s="14" t="n">
        <f aca="false">O15+O16</f>
        <v>1110.55615172626</v>
      </c>
      <c r="P17" s="14" t="n">
        <f aca="false">P15+P16</f>
        <v>1305.52901937365</v>
      </c>
      <c r="Q17" s="14" t="n">
        <f aca="false">Q15+Q16</f>
        <v>1524.32762284608</v>
      </c>
      <c r="R17" s="14" t="n">
        <f aca="false">R15+R16</f>
        <v>1769.73051945547</v>
      </c>
      <c r="S17" s="14" t="n">
        <f aca="false">S15+S16</f>
        <v>2044.84030186744</v>
      </c>
      <c r="T17" s="14" t="n">
        <f aca="false">T15+T16</f>
        <v>2353.1213871043</v>
      </c>
      <c r="U17" s="14" t="n">
        <f aca="false">U15+U16</f>
        <v>2698.44221250147</v>
      </c>
      <c r="V17" s="14" t="n">
        <f aca="false">V15+V16</f>
        <v>3085.12235255647</v>
      </c>
      <c r="W17" s="14" t="n">
        <f aca="false">W15+W16</f>
        <v>3517.98513054468</v>
      </c>
      <c r="X17" s="14" t="n">
        <f aca="false">X15+X16</f>
        <v>4002.41636570188</v>
      </c>
      <c r="Y17" s="14" t="n">
        <f aca="false">Y15+Y16</f>
        <v>4544.42997150311</v>
      </c>
      <c r="Z17" s="14" t="n">
        <f aca="false">Z15+Z16</f>
        <v>5150.74120401288</v>
      </c>
    </row>
    <row r="18" customFormat="false" ht="15" hidden="false" customHeight="true" outlineLevel="0" collapsed="false">
      <c r="A18" s="5" t="s">
        <v>114</v>
      </c>
      <c r="C18" s="13" t="n">
        <f aca="false">0+C19*Assunzioni!$B$31</f>
        <v>0</v>
      </c>
      <c r="D18" s="13" t="n">
        <f aca="false">C18+D19*Assunzioni!$B$31</f>
        <v>0</v>
      </c>
      <c r="E18" s="13" t="n">
        <f aca="false">D18+E19*Assunzioni!$B$31</f>
        <v>0</v>
      </c>
      <c r="F18" s="13" t="n">
        <f aca="false">E18+F19*Assunzioni!$B$31</f>
        <v>3.44</v>
      </c>
      <c r="G18" s="13" t="n">
        <f aca="false">F18+G19*Assunzioni!$B$31</f>
        <v>7.7144</v>
      </c>
      <c r="H18" s="13" t="n">
        <f aca="false">G18+H19*Assunzioni!$B$31</f>
        <v>12.8486416</v>
      </c>
      <c r="I18" s="13" t="n">
        <f aca="false">H18+I19*Assunzioni!$B$31</f>
        <v>18.8752995488</v>
      </c>
      <c r="J18" s="13" t="n">
        <f aca="false">I18+J19*Assunzioni!$B$31</f>
        <v>27.3581441936201</v>
      </c>
      <c r="K18" s="13" t="n">
        <f aca="false">J18+K19*Assunzioni!$B$31</f>
        <v>37.3576552544917</v>
      </c>
      <c r="L18" s="13" t="n">
        <f aca="false">K18+L19*Assunzioni!$B$31</f>
        <v>49.5101142433461</v>
      </c>
      <c r="M18" s="13" t="n">
        <f aca="false">L18+M19*Assunzioni!$B$31</f>
        <v>64.1677929994808</v>
      </c>
      <c r="N18" s="13" t="n">
        <f aca="false">M18+N19*Assunzioni!$B$31</f>
        <v>81.6228502521559</v>
      </c>
      <c r="O18" s="13" t="n">
        <f aca="false">N18+O19*Assunzioni!$B$31</f>
        <v>102.201516281638</v>
      </c>
      <c r="P18" s="13" t="n">
        <f aca="false">O18+P19*Assunzioni!$B$31</f>
        <v>126.268066343478</v>
      </c>
      <c r="Q18" s="13" t="n">
        <f aca="false">P18+Q19*Assunzioni!$B$31</f>
        <v>154.22925747353</v>
      </c>
      <c r="R18" s="13" t="n">
        <f aca="false">Q18+R19*Assunzioni!$B$31</f>
        <v>186.539282713169</v>
      </c>
      <c r="S18" s="13" t="n">
        <f aca="false">R18+S19*Assunzioni!$B$31</f>
        <v>223.705303096254</v>
      </c>
      <c r="T18" s="13" t="n">
        <f aca="false">S18+T19*Assunzioni!$B$31</f>
        <v>266.293624776415</v>
      </c>
      <c r="U18" s="13" t="n">
        <f aca="false">T18+U19*Assunzioni!$B$31</f>
        <v>314.936596530916</v>
      </c>
      <c r="V18" s="13" t="n">
        <f aca="false">U18+V19*Assunzioni!$B$31</f>
        <v>370.340311651428</v>
      </c>
      <c r="W18" s="13" t="n">
        <f aca="false">V18+W19*Assunzioni!$B$31</f>
        <v>433.293208029293</v>
      </c>
      <c r="X18" s="13" t="n">
        <f aca="false">W18+X19*Assunzioni!$B$31</f>
        <v>504.675671182744</v>
      </c>
      <c r="Y18" s="13" t="n">
        <f aca="false">X18+Y19*Assunzioni!$B$31</f>
        <v>585.470757189152</v>
      </c>
      <c r="Z18" s="13" t="n">
        <f aca="false">Y18+Z19*Assunzioni!$B$31</f>
        <v>676.776166125626</v>
      </c>
    </row>
    <row r="19" customFormat="false" ht="15" hidden="false" customHeight="true" outlineLevel="0" collapsed="false">
      <c r="A19" s="11" t="s">
        <v>115</v>
      </c>
      <c r="C19" s="13" t="n">
        <f aca="false">MAX(0,C17-0)</f>
        <v>0</v>
      </c>
      <c r="D19" s="13" t="n">
        <f aca="false">MAX(0,D17-C18)</f>
        <v>0</v>
      </c>
      <c r="E19" s="13" t="n">
        <f aca="false">MAX(0,E17-D18)</f>
        <v>0</v>
      </c>
      <c r="F19" s="13" t="n">
        <f aca="false">MAX(0,F17-E18)</f>
        <v>172</v>
      </c>
      <c r="G19" s="13" t="n">
        <f aca="false">MAX(0,G17-F18)</f>
        <v>213.72</v>
      </c>
      <c r="H19" s="13" t="n">
        <f aca="false">MAX(0,H17-G18)</f>
        <v>256.71208</v>
      </c>
      <c r="I19" s="13" t="n">
        <f aca="false">MAX(0,I17-H18)</f>
        <v>301.33289744</v>
      </c>
      <c r="J19" s="13" t="n">
        <f aca="false">MAX(0,J17-I18)</f>
        <v>424.142232241003</v>
      </c>
      <c r="K19" s="13" t="n">
        <f aca="false">MAX(0,K17-J18)</f>
        <v>499.975553043581</v>
      </c>
      <c r="L19" s="13" t="n">
        <f aca="false">MAX(0,L17-K18)</f>
        <v>607.622949442723</v>
      </c>
      <c r="M19" s="13" t="n">
        <f aca="false">MAX(0,M17-L18)</f>
        <v>732.883937806733</v>
      </c>
      <c r="N19" s="13" t="n">
        <f aca="false">MAX(0,N17-M18)</f>
        <v>872.752862633754</v>
      </c>
      <c r="O19" s="13" t="n">
        <f aca="false">MAX(0,O17-N18)</f>
        <v>1028.9333014741</v>
      </c>
      <c r="P19" s="13" t="n">
        <f aca="false">MAX(0,P17-O18)</f>
        <v>1203.32750309201</v>
      </c>
      <c r="Q19" s="13" t="n">
        <f aca="false">MAX(0,Q17-P18)</f>
        <v>1398.0595565026</v>
      </c>
      <c r="R19" s="13" t="n">
        <f aca="false">MAX(0,R17-Q18)</f>
        <v>1615.50126198194</v>
      </c>
      <c r="S19" s="13" t="n">
        <f aca="false">MAX(0,S17-R18)</f>
        <v>1858.30101915427</v>
      </c>
      <c r="T19" s="13" t="n">
        <f aca="false">MAX(0,T17-S18)</f>
        <v>2129.41608400804</v>
      </c>
      <c r="U19" s="13" t="n">
        <f aca="false">MAX(0,U17-T18)</f>
        <v>2432.14858772506</v>
      </c>
      <c r="V19" s="13" t="n">
        <f aca="false">MAX(0,V17-U18)</f>
        <v>2770.18575602556</v>
      </c>
      <c r="W19" s="13" t="n">
        <f aca="false">MAX(0,W17-V18)</f>
        <v>3147.64481889326</v>
      </c>
      <c r="X19" s="13" t="n">
        <f aca="false">MAX(0,X17-W18)</f>
        <v>3569.12315767259</v>
      </c>
      <c r="Y19" s="13" t="n">
        <f aca="false">MAX(0,Y17-X18)</f>
        <v>4039.75430032036</v>
      </c>
      <c r="Z19" s="13" t="n">
        <f aca="false">MAX(0,Z17-Y18)</f>
        <v>4565.27044682373</v>
      </c>
    </row>
    <row r="21" customFormat="false" ht="15" hidden="false" customHeight="true" outlineLevel="0" collapsed="false">
      <c r="A21" s="4" t="s">
        <v>116</v>
      </c>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5" hidden="false" customHeight="true" outlineLevel="0" collapsed="false">
      <c r="A22" s="5" t="s">
        <v>117</v>
      </c>
      <c r="C22" s="15" t="n">
        <f aca="false">Assunzioni!$B$28+(Assunzioni!$B$29-Assunzioni!$B$28)*MIN(1,C$2/Assunzioni!$B$30)</f>
        <v>0.05</v>
      </c>
      <c r="D22" s="15" t="n">
        <f aca="false">Assunzioni!$B$28+(Assunzioni!$B$29-Assunzioni!$B$28)*MIN(1,D$2/Assunzioni!$B$30)</f>
        <v>0.0611111111111111</v>
      </c>
      <c r="E22" s="15" t="n">
        <f aca="false">Assunzioni!$B$28+(Assunzioni!$B$29-Assunzioni!$B$28)*MIN(1,E$2/Assunzioni!$B$30)</f>
        <v>0.0722222222222222</v>
      </c>
      <c r="F22" s="15" t="n">
        <f aca="false">Assunzioni!$B$28+(Assunzioni!$B$29-Assunzioni!$B$28)*MIN(1,F$2/Assunzioni!$B$30)</f>
        <v>0.0833333333333333</v>
      </c>
      <c r="G22" s="15" t="n">
        <f aca="false">Assunzioni!$B$28+(Assunzioni!$B$29-Assunzioni!$B$28)*MIN(1,G$2/Assunzioni!$B$30)</f>
        <v>0.0944444444444444</v>
      </c>
      <c r="H22" s="15" t="n">
        <f aca="false">Assunzioni!$B$28+(Assunzioni!$B$29-Assunzioni!$B$28)*MIN(1,H$2/Assunzioni!$B$30)</f>
        <v>0.105555555555556</v>
      </c>
      <c r="I22" s="15" t="n">
        <f aca="false">Assunzioni!$B$28+(Assunzioni!$B$29-Assunzioni!$B$28)*MIN(1,I$2/Assunzioni!$B$30)</f>
        <v>0.116666666666667</v>
      </c>
      <c r="J22" s="15" t="n">
        <f aca="false">Assunzioni!$B$28+(Assunzioni!$B$29-Assunzioni!$B$28)*MIN(1,J$2/Assunzioni!$B$30)</f>
        <v>0.127777777777778</v>
      </c>
      <c r="K22" s="15" t="n">
        <f aca="false">Assunzioni!$B$28+(Assunzioni!$B$29-Assunzioni!$B$28)*MIN(1,K$2/Assunzioni!$B$30)</f>
        <v>0.138888888888889</v>
      </c>
      <c r="L22" s="15" t="n">
        <f aca="false">Assunzioni!$B$28+(Assunzioni!$B$29-Assunzioni!$B$28)*MIN(1,L$2/Assunzioni!$B$30)</f>
        <v>0.15</v>
      </c>
      <c r="M22" s="15" t="n">
        <f aca="false">Assunzioni!$B$28+(Assunzioni!$B$29-Assunzioni!$B$28)*MIN(1,M$2/Assunzioni!$B$30)</f>
        <v>0.15</v>
      </c>
      <c r="N22" s="15" t="n">
        <f aca="false">Assunzioni!$B$28+(Assunzioni!$B$29-Assunzioni!$B$28)*MIN(1,N$2/Assunzioni!$B$30)</f>
        <v>0.15</v>
      </c>
      <c r="O22" s="15" t="n">
        <f aca="false">Assunzioni!$B$28+(Assunzioni!$B$29-Assunzioni!$B$28)*MIN(1,O$2/Assunzioni!$B$30)</f>
        <v>0.15</v>
      </c>
      <c r="P22" s="15" t="n">
        <f aca="false">Assunzioni!$B$28+(Assunzioni!$B$29-Assunzioni!$B$28)*MIN(1,P$2/Assunzioni!$B$30)</f>
        <v>0.15</v>
      </c>
      <c r="Q22" s="15" t="n">
        <f aca="false">Assunzioni!$B$28+(Assunzioni!$B$29-Assunzioni!$B$28)*MIN(1,Q$2/Assunzioni!$B$30)</f>
        <v>0.15</v>
      </c>
      <c r="R22" s="15" t="n">
        <f aca="false">Assunzioni!$B$28+(Assunzioni!$B$29-Assunzioni!$B$28)*MIN(1,R$2/Assunzioni!$B$30)</f>
        <v>0.15</v>
      </c>
      <c r="S22" s="15" t="n">
        <f aca="false">Assunzioni!$B$28+(Assunzioni!$B$29-Assunzioni!$B$28)*MIN(1,S$2/Assunzioni!$B$30)</f>
        <v>0.15</v>
      </c>
      <c r="T22" s="15" t="n">
        <f aca="false">Assunzioni!$B$28+(Assunzioni!$B$29-Assunzioni!$B$28)*MIN(1,T$2/Assunzioni!$B$30)</f>
        <v>0.15</v>
      </c>
      <c r="U22" s="15" t="n">
        <f aca="false">Assunzioni!$B$28+(Assunzioni!$B$29-Assunzioni!$B$28)*MIN(1,U$2/Assunzioni!$B$30)</f>
        <v>0.15</v>
      </c>
      <c r="V22" s="15" t="n">
        <f aca="false">Assunzioni!$B$28+(Assunzioni!$B$29-Assunzioni!$B$28)*MIN(1,V$2/Assunzioni!$B$30)</f>
        <v>0.15</v>
      </c>
      <c r="W22" s="15" t="n">
        <f aca="false">Assunzioni!$B$28+(Assunzioni!$B$29-Assunzioni!$B$28)*MIN(1,W$2/Assunzioni!$B$30)</f>
        <v>0.15</v>
      </c>
      <c r="X22" s="15" t="n">
        <f aca="false">Assunzioni!$B$28+(Assunzioni!$B$29-Assunzioni!$B$28)*MIN(1,X$2/Assunzioni!$B$30)</f>
        <v>0.15</v>
      </c>
      <c r="Y22" s="15" t="n">
        <f aca="false">Assunzioni!$B$28+(Assunzioni!$B$29-Assunzioni!$B$28)*MIN(1,Y$2/Assunzioni!$B$30)</f>
        <v>0.15</v>
      </c>
      <c r="Z22" s="15" t="n">
        <f aca="false">Assunzioni!$B$28+(Assunzioni!$B$29-Assunzioni!$B$28)*MIN(1,Z$2/Assunzioni!$B$30)</f>
        <v>0.15</v>
      </c>
    </row>
    <row r="23" customFormat="false" ht="15" hidden="false" customHeight="true" outlineLevel="0" collapsed="false">
      <c r="A23" s="5" t="s">
        <v>118</v>
      </c>
      <c r="C23" s="16" t="n">
        <f aca="false">IF(C17&gt;=Assunzioni!$B$32,Assunzioni!$B$33,1)</f>
        <v>1</v>
      </c>
      <c r="D23" s="16" t="n">
        <f aca="false">IF(D17&gt;=Assunzioni!$B$32,Assunzioni!$B$33,1)</f>
        <v>1</v>
      </c>
      <c r="E23" s="16" t="n">
        <f aca="false">IF(E17&gt;=Assunzioni!$B$32,Assunzioni!$B$33,1)</f>
        <v>1</v>
      </c>
      <c r="F23" s="16" t="n">
        <f aca="false">IF(F17&gt;=Assunzioni!$B$32,Assunzioni!$B$33,1)</f>
        <v>1</v>
      </c>
      <c r="G23" s="16" t="n">
        <f aca="false">IF(G17&gt;=Assunzioni!$B$32,Assunzioni!$B$33,1)</f>
        <v>1</v>
      </c>
      <c r="H23" s="16" t="n">
        <f aca="false">IF(H17&gt;=Assunzioni!$B$32,Assunzioni!$B$33,1)</f>
        <v>1</v>
      </c>
      <c r="I23" s="16" t="n">
        <f aca="false">IF(I17&gt;=Assunzioni!$B$32,Assunzioni!$B$33,1)</f>
        <v>1</v>
      </c>
      <c r="J23" s="16" t="n">
        <f aca="false">IF(J17&gt;=Assunzioni!$B$32,Assunzioni!$B$33,1)</f>
        <v>1</v>
      </c>
      <c r="K23" s="16" t="n">
        <f aca="false">IF(K17&gt;=Assunzioni!$B$32,Assunzioni!$B$33,1)</f>
        <v>2</v>
      </c>
      <c r="L23" s="16" t="n">
        <f aca="false">IF(L17&gt;=Assunzioni!$B$32,Assunzioni!$B$33,1)</f>
        <v>2</v>
      </c>
      <c r="M23" s="16" t="n">
        <f aca="false">IF(M17&gt;=Assunzioni!$B$32,Assunzioni!$B$33,1)</f>
        <v>2</v>
      </c>
      <c r="N23" s="16" t="n">
        <f aca="false">IF(N17&gt;=Assunzioni!$B$32,Assunzioni!$B$33,1)</f>
        <v>2</v>
      </c>
      <c r="O23" s="16" t="n">
        <f aca="false">IF(O17&gt;=Assunzioni!$B$32,Assunzioni!$B$33,1)</f>
        <v>2</v>
      </c>
      <c r="P23" s="16" t="n">
        <f aca="false">IF(P17&gt;=Assunzioni!$B$32,Assunzioni!$B$33,1)</f>
        <v>2</v>
      </c>
      <c r="Q23" s="16" t="n">
        <f aca="false">IF(Q17&gt;=Assunzioni!$B$32,Assunzioni!$B$33,1)</f>
        <v>2</v>
      </c>
      <c r="R23" s="16" t="n">
        <f aca="false">IF(R17&gt;=Assunzioni!$B$32,Assunzioni!$B$33,1)</f>
        <v>2</v>
      </c>
      <c r="S23" s="16" t="n">
        <f aca="false">IF(S17&gt;=Assunzioni!$B$32,Assunzioni!$B$33,1)</f>
        <v>2</v>
      </c>
      <c r="T23" s="16" t="n">
        <f aca="false">IF(T17&gt;=Assunzioni!$B$32,Assunzioni!$B$33,1)</f>
        <v>2</v>
      </c>
      <c r="U23" s="16" t="n">
        <f aca="false">IF(U17&gt;=Assunzioni!$B$32,Assunzioni!$B$33,1)</f>
        <v>2</v>
      </c>
      <c r="V23" s="16" t="n">
        <f aca="false">IF(V17&gt;=Assunzioni!$B$32,Assunzioni!$B$33,1)</f>
        <v>2</v>
      </c>
      <c r="W23" s="16" t="n">
        <f aca="false">IF(W17&gt;=Assunzioni!$B$32,Assunzioni!$B$33,1)</f>
        <v>2</v>
      </c>
      <c r="X23" s="16" t="n">
        <f aca="false">IF(X17&gt;=Assunzioni!$B$32,Assunzioni!$B$33,1)</f>
        <v>2</v>
      </c>
      <c r="Y23" s="16" t="n">
        <f aca="false">IF(Y17&gt;=Assunzioni!$B$32,Assunzioni!$B$33,1)</f>
        <v>2</v>
      </c>
      <c r="Z23" s="16" t="n">
        <f aca="false">IF(Z17&gt;=Assunzioni!$B$32,Assunzioni!$B$33,1)</f>
        <v>2</v>
      </c>
    </row>
    <row r="24" customFormat="false" ht="15" hidden="false" customHeight="true" outlineLevel="0" collapsed="false">
      <c r="A24" s="5" t="s">
        <v>119</v>
      </c>
      <c r="C24" s="13" t="n">
        <f aca="false">C19*C22*(1+(C23-1)*(1-Assunzioni!$B$34))</f>
        <v>0</v>
      </c>
      <c r="D24" s="13" t="n">
        <f aca="false">D19*D22*(1+(D23-1)*(1-Assunzioni!$B$34))</f>
        <v>0</v>
      </c>
      <c r="E24" s="13" t="n">
        <f aca="false">E19*E22*(1+(E23-1)*(1-Assunzioni!$B$34))</f>
        <v>0</v>
      </c>
      <c r="F24" s="13" t="n">
        <f aca="false">F19*F22*(1+(F23-1)*(1-Assunzioni!$B$34))</f>
        <v>14.3333333333333</v>
      </c>
      <c r="G24" s="13" t="n">
        <f aca="false">G19*G22*(1+(G23-1)*(1-Assunzioni!$B$34))</f>
        <v>20.1846666666667</v>
      </c>
      <c r="H24" s="13" t="n">
        <f aca="false">H19*H22*(1+(H23-1)*(1-Assunzioni!$B$34))</f>
        <v>27.0973862222222</v>
      </c>
      <c r="I24" s="13" t="n">
        <f aca="false">I19*I22*(1+(I23-1)*(1-Assunzioni!$B$34))</f>
        <v>35.1555047013333</v>
      </c>
      <c r="J24" s="13" t="n">
        <f aca="false">J19*J22*(1+(J23-1)*(1-Assunzioni!$B$34))</f>
        <v>54.1959518974615</v>
      </c>
      <c r="K24" s="13" t="n">
        <f aca="false">K19*K22*(1+(K23-1)*(1-Assunzioni!$B$34))</f>
        <v>114.577730905821</v>
      </c>
      <c r="L24" s="13" t="n">
        <f aca="false">L19*L22*(1+(L23-1)*(1-Assunzioni!$B$34))</f>
        <v>150.386679987074</v>
      </c>
      <c r="M24" s="13" t="n">
        <f aca="false">M19*M22*(1+(M23-1)*(1-Assunzioni!$B$34))</f>
        <v>181.388774607166</v>
      </c>
      <c r="N24" s="13" t="n">
        <f aca="false">N19*N22*(1+(N23-1)*(1-Assunzioni!$B$34))</f>
        <v>216.006333501854</v>
      </c>
      <c r="O24" s="13" t="n">
        <f aca="false">O19*O22*(1+(O23-1)*(1-Assunzioni!$B$34))</f>
        <v>254.66099211484</v>
      </c>
      <c r="P24" s="13" t="n">
        <f aca="false">P19*P22*(1+(P23-1)*(1-Assunzioni!$B$34))</f>
        <v>297.823557015273</v>
      </c>
      <c r="Q24" s="13" t="n">
        <f aca="false">Q19*Q22*(1+(Q23-1)*(1-Assunzioni!$B$34))</f>
        <v>346.019740234394</v>
      </c>
      <c r="R24" s="13" t="n">
        <f aca="false">R19*R22*(1+(R23-1)*(1-Assunzioni!$B$34))</f>
        <v>399.836562340529</v>
      </c>
      <c r="S24" s="13" t="n">
        <f aca="false">S19*S22*(1+(S23-1)*(1-Assunzioni!$B$34))</f>
        <v>459.929502240682</v>
      </c>
      <c r="T24" s="13" t="n">
        <f aca="false">T19*T22*(1+(T23-1)*(1-Assunzioni!$B$34))</f>
        <v>527.03048079199</v>
      </c>
      <c r="U24" s="13" t="n">
        <f aca="false">U19*U22*(1+(U23-1)*(1-Assunzioni!$B$34))</f>
        <v>601.956775461952</v>
      </c>
      <c r="V24" s="13" t="n">
        <f aca="false">V19*V22*(1+(V23-1)*(1-Assunzioni!$B$34))</f>
        <v>685.620974616325</v>
      </c>
      <c r="W24" s="13" t="n">
        <f aca="false">W19*W22*(1+(W23-1)*(1-Assunzioni!$B$34))</f>
        <v>779.042092676081</v>
      </c>
      <c r="X24" s="13" t="n">
        <f aca="false">X19*X22*(1+(X23-1)*(1-Assunzioni!$B$34))</f>
        <v>883.357981523965</v>
      </c>
      <c r="Y24" s="13" t="n">
        <f aca="false">Y19*Y22*(1+(Y23-1)*(1-Assunzioni!$B$34))</f>
        <v>999.83918932929</v>
      </c>
      <c r="Z24" s="13" t="n">
        <f aca="false">Z19*Z22*(1+(Z23-1)*(1-Assunzioni!$B$34))</f>
        <v>1129.90443558887</v>
      </c>
    </row>
    <row r="25" customFormat="false" ht="15" hidden="false" customHeight="true" outlineLevel="0" collapsed="false">
      <c r="A25" s="11" t="s">
        <v>120</v>
      </c>
      <c r="C25" s="17" t="n">
        <f aca="false">C24*Assunzioni!$B$6</f>
        <v>0</v>
      </c>
      <c r="D25" s="17" t="n">
        <f aca="false">D24*Assunzioni!$B$6</f>
        <v>0</v>
      </c>
      <c r="E25" s="17" t="n">
        <f aca="false">E24*Assunzioni!$B$6</f>
        <v>0</v>
      </c>
      <c r="F25" s="17" t="n">
        <f aca="false">F24*Assunzioni!$B$6</f>
        <v>286.666666666667</v>
      </c>
      <c r="G25" s="17" t="n">
        <f aca="false">G24*Assunzioni!$B$6</f>
        <v>403.693333333333</v>
      </c>
      <c r="H25" s="17" t="n">
        <f aca="false">H24*Assunzioni!$B$6</f>
        <v>541.947724444445</v>
      </c>
      <c r="I25" s="17" t="n">
        <f aca="false">I24*Assunzioni!$B$6</f>
        <v>703.110094026667</v>
      </c>
      <c r="J25" s="17" t="n">
        <f aca="false">J24*Assunzioni!$B$6</f>
        <v>1083.91903794923</v>
      </c>
      <c r="K25" s="17" t="n">
        <f aca="false">K24*Assunzioni!$B$6</f>
        <v>2291.55461811642</v>
      </c>
      <c r="L25" s="17" t="n">
        <f aca="false">L24*Assunzioni!$B$6</f>
        <v>3007.73359974148</v>
      </c>
      <c r="M25" s="17" t="n">
        <f aca="false">M24*Assunzioni!$B$6</f>
        <v>3627.77549214333</v>
      </c>
      <c r="N25" s="17" t="n">
        <f aca="false">N24*Assunzioni!$B$6</f>
        <v>4320.12667003708</v>
      </c>
      <c r="O25" s="17" t="n">
        <f aca="false">O24*Assunzioni!$B$6</f>
        <v>5093.21984229681</v>
      </c>
      <c r="P25" s="17" t="n">
        <f aca="false">P24*Assunzioni!$B$6</f>
        <v>5956.47114030546</v>
      </c>
      <c r="Q25" s="17" t="n">
        <f aca="false">Q24*Assunzioni!$B$6</f>
        <v>6920.39480468789</v>
      </c>
      <c r="R25" s="17" t="n">
        <f aca="false">R24*Assunzioni!$B$6</f>
        <v>7996.73124681059</v>
      </c>
      <c r="S25" s="17" t="n">
        <f aca="false">S24*Assunzioni!$B$6</f>
        <v>9198.59004481364</v>
      </c>
      <c r="T25" s="17" t="n">
        <f aca="false">T24*Assunzioni!$B$6</f>
        <v>10540.6096158398</v>
      </c>
      <c r="U25" s="17" t="n">
        <f aca="false">U24*Assunzioni!$B$6</f>
        <v>12039.135509239</v>
      </c>
      <c r="V25" s="17" t="n">
        <f aca="false">V24*Assunzioni!$B$6</f>
        <v>13712.4194923265</v>
      </c>
      <c r="W25" s="17" t="n">
        <f aca="false">W24*Assunzioni!$B$6</f>
        <v>15580.8418535216</v>
      </c>
      <c r="X25" s="17" t="n">
        <f aca="false">X24*Assunzioni!$B$6</f>
        <v>17667.1596304793</v>
      </c>
      <c r="Y25" s="17" t="n">
        <f aca="false">Y24*Assunzioni!$B$6</f>
        <v>19996.7837865858</v>
      </c>
      <c r="Z25" s="17" t="n">
        <f aca="false">Z24*Assunzioni!$B$6</f>
        <v>22598.0887117774</v>
      </c>
    </row>
    <row r="27" customFormat="false" ht="15" hidden="false" customHeight="true" outlineLevel="0" collapsed="false">
      <c r="A27" s="4" t="s">
        <v>121</v>
      </c>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 hidden="false" customHeight="true" outlineLevel="0" collapsed="false">
      <c r="A28" s="5" t="s">
        <v>122</v>
      </c>
      <c r="C28" s="18" t="n">
        <f aca="false">Assunzioni!$B$37</f>
        <v>25</v>
      </c>
      <c r="D28" s="18" t="n">
        <f aca="false">Assunzioni!$B$37</f>
        <v>25</v>
      </c>
      <c r="E28" s="18" t="n">
        <f aca="false">Assunzioni!$B$37</f>
        <v>25</v>
      </c>
      <c r="F28" s="18" t="n">
        <f aca="false">Assunzioni!$B$37</f>
        <v>25</v>
      </c>
      <c r="G28" s="18" t="n">
        <f aca="false">Assunzioni!$B$37</f>
        <v>25</v>
      </c>
      <c r="H28" s="18" t="n">
        <f aca="false">Assunzioni!$B$37</f>
        <v>25</v>
      </c>
      <c r="I28" s="18" t="n">
        <f aca="false">Assunzioni!$B$37</f>
        <v>25</v>
      </c>
      <c r="J28" s="18" t="n">
        <f aca="false">Assunzioni!$B$37</f>
        <v>25</v>
      </c>
      <c r="K28" s="18" t="n">
        <f aca="false">Assunzioni!$B$37</f>
        <v>25</v>
      </c>
      <c r="L28" s="18" t="n">
        <f aca="false">Assunzioni!$B$37</f>
        <v>25</v>
      </c>
      <c r="M28" s="18" t="n">
        <f aca="false">Assunzioni!$B$37</f>
        <v>25</v>
      </c>
      <c r="N28" s="18" t="n">
        <f aca="false">Assunzioni!$B$37</f>
        <v>25</v>
      </c>
      <c r="O28" s="18" t="n">
        <f aca="false">Assunzioni!$B$37</f>
        <v>25</v>
      </c>
      <c r="P28" s="18" t="n">
        <f aca="false">Assunzioni!$B$37</f>
        <v>25</v>
      </c>
      <c r="Q28" s="18" t="n">
        <f aca="false">Assunzioni!$B$37</f>
        <v>25</v>
      </c>
      <c r="R28" s="18" t="n">
        <f aca="false">Assunzioni!$B$37</f>
        <v>25</v>
      </c>
      <c r="S28" s="18" t="n">
        <f aca="false">Assunzioni!$B$37</f>
        <v>25</v>
      </c>
      <c r="T28" s="18" t="n">
        <f aca="false">Assunzioni!$B$37</f>
        <v>25</v>
      </c>
      <c r="U28" s="18" t="n">
        <f aca="false">Assunzioni!$B$37</f>
        <v>25</v>
      </c>
      <c r="V28" s="18" t="n">
        <f aca="false">Assunzioni!$B$37</f>
        <v>25</v>
      </c>
      <c r="W28" s="18" t="n">
        <f aca="false">Assunzioni!$B$37</f>
        <v>25</v>
      </c>
      <c r="X28" s="18" t="n">
        <f aca="false">Assunzioni!$B$37</f>
        <v>25</v>
      </c>
      <c r="Y28" s="18" t="n">
        <f aca="false">Assunzioni!$B$37</f>
        <v>25</v>
      </c>
      <c r="Z28" s="18" t="n">
        <f aca="false">Assunzioni!$B$37</f>
        <v>25</v>
      </c>
    </row>
    <row r="29" customFormat="false" ht="15" hidden="false" customHeight="true" outlineLevel="0" collapsed="false">
      <c r="A29" s="5" t="s">
        <v>123</v>
      </c>
      <c r="C29" s="18" t="n">
        <f aca="false">IF(C$2&gt;=Assunzioni!$B$40,Assunzioni!$B$39,Assunzioni!$B$38)</f>
        <v>20</v>
      </c>
      <c r="D29" s="18" t="n">
        <f aca="false">IF(D$2&gt;=Assunzioni!$B$40,Assunzioni!$B$39,Assunzioni!$B$38)</f>
        <v>20</v>
      </c>
      <c r="E29" s="18" t="n">
        <f aca="false">IF(E$2&gt;=Assunzioni!$B$40,Assunzioni!$B$39,Assunzioni!$B$38)</f>
        <v>20</v>
      </c>
      <c r="F29" s="18" t="n">
        <f aca="false">IF(F$2&gt;=Assunzioni!$B$40,Assunzioni!$B$39,Assunzioni!$B$38)</f>
        <v>20</v>
      </c>
      <c r="G29" s="18" t="n">
        <f aca="false">IF(G$2&gt;=Assunzioni!$B$40,Assunzioni!$B$39,Assunzioni!$B$38)</f>
        <v>20</v>
      </c>
      <c r="H29" s="18" t="n">
        <f aca="false">IF(H$2&gt;=Assunzioni!$B$40,Assunzioni!$B$39,Assunzioni!$B$38)</f>
        <v>20</v>
      </c>
      <c r="I29" s="18" t="n">
        <f aca="false">IF(I$2&gt;=Assunzioni!$B$40,Assunzioni!$B$39,Assunzioni!$B$38)</f>
        <v>20</v>
      </c>
      <c r="J29" s="18" t="n">
        <f aca="false">IF(J$2&gt;=Assunzioni!$B$40,Assunzioni!$B$39,Assunzioni!$B$38)</f>
        <v>20</v>
      </c>
      <c r="K29" s="18" t="n">
        <f aca="false">IF(K$2&gt;=Assunzioni!$B$40,Assunzioni!$B$39,Assunzioni!$B$38)</f>
        <v>20</v>
      </c>
      <c r="L29" s="18" t="n">
        <f aca="false">IF(L$2&gt;=Assunzioni!$B$40,Assunzioni!$B$39,Assunzioni!$B$38)</f>
        <v>35</v>
      </c>
      <c r="M29" s="18" t="n">
        <f aca="false">IF(M$2&gt;=Assunzioni!$B$40,Assunzioni!$B$39,Assunzioni!$B$38)</f>
        <v>35</v>
      </c>
      <c r="N29" s="18" t="n">
        <f aca="false">IF(N$2&gt;=Assunzioni!$B$40,Assunzioni!$B$39,Assunzioni!$B$38)</f>
        <v>35</v>
      </c>
      <c r="O29" s="18" t="n">
        <f aca="false">IF(O$2&gt;=Assunzioni!$B$40,Assunzioni!$B$39,Assunzioni!$B$38)</f>
        <v>35</v>
      </c>
      <c r="P29" s="18" t="n">
        <f aca="false">IF(P$2&gt;=Assunzioni!$B$40,Assunzioni!$B$39,Assunzioni!$B$38)</f>
        <v>35</v>
      </c>
      <c r="Q29" s="18" t="n">
        <f aca="false">IF(Q$2&gt;=Assunzioni!$B$40,Assunzioni!$B$39,Assunzioni!$B$38)</f>
        <v>35</v>
      </c>
      <c r="R29" s="18" t="n">
        <f aca="false">IF(R$2&gt;=Assunzioni!$B$40,Assunzioni!$B$39,Assunzioni!$B$38)</f>
        <v>35</v>
      </c>
      <c r="S29" s="18" t="n">
        <f aca="false">IF(S$2&gt;=Assunzioni!$B$40,Assunzioni!$B$39,Assunzioni!$B$38)</f>
        <v>35</v>
      </c>
      <c r="T29" s="18" t="n">
        <f aca="false">IF(T$2&gt;=Assunzioni!$B$40,Assunzioni!$B$39,Assunzioni!$B$38)</f>
        <v>35</v>
      </c>
      <c r="U29" s="18" t="n">
        <f aca="false">IF(U$2&gt;=Assunzioni!$B$40,Assunzioni!$B$39,Assunzioni!$B$38)</f>
        <v>35</v>
      </c>
      <c r="V29" s="18" t="n">
        <f aca="false">IF(V$2&gt;=Assunzioni!$B$40,Assunzioni!$B$39,Assunzioni!$B$38)</f>
        <v>35</v>
      </c>
      <c r="W29" s="18" t="n">
        <f aca="false">IF(W$2&gt;=Assunzioni!$B$40,Assunzioni!$B$39,Assunzioni!$B$38)</f>
        <v>35</v>
      </c>
      <c r="X29" s="18" t="n">
        <f aca="false">IF(X$2&gt;=Assunzioni!$B$40,Assunzioni!$B$39,Assunzioni!$B$38)</f>
        <v>35</v>
      </c>
      <c r="Y29" s="18" t="n">
        <f aca="false">IF(Y$2&gt;=Assunzioni!$B$40,Assunzioni!$B$39,Assunzioni!$B$38)</f>
        <v>35</v>
      </c>
      <c r="Z29" s="18" t="n">
        <f aca="false">IF(Z$2&gt;=Assunzioni!$B$40,Assunzioni!$B$39,Assunzioni!$B$38)</f>
        <v>35</v>
      </c>
    </row>
    <row r="30" customFormat="false" ht="15" hidden="false" customHeight="true" outlineLevel="0" collapsed="false">
      <c r="A30" s="5" t="s">
        <v>124</v>
      </c>
      <c r="C30" s="19" t="n">
        <f aca="false">C17*Assunzioni!$B$41</f>
        <v>0</v>
      </c>
      <c r="D30" s="19" t="n">
        <f aca="false">D17*Assunzioni!$B$41</f>
        <v>0</v>
      </c>
      <c r="E30" s="19" t="n">
        <f aca="false">E17*Assunzioni!$B$41</f>
        <v>0</v>
      </c>
      <c r="F30" s="19" t="n">
        <f aca="false">F17*Assunzioni!$B$41</f>
        <v>8.6</v>
      </c>
      <c r="G30" s="19" t="n">
        <f aca="false">G17*Assunzioni!$B$41</f>
        <v>10.858</v>
      </c>
      <c r="H30" s="19" t="n">
        <f aca="false">H17*Assunzioni!$B$41</f>
        <v>13.221324</v>
      </c>
      <c r="I30" s="19" t="n">
        <f aca="false">I17*Assunzioni!$B$41</f>
        <v>15.709076952</v>
      </c>
      <c r="J30" s="19" t="n">
        <f aca="false">J17*Assunzioni!$B$41</f>
        <v>22.1508765894901</v>
      </c>
      <c r="K30" s="19" t="n">
        <f aca="false">K17*Assunzioni!$B$41</f>
        <v>26.3666848618601</v>
      </c>
      <c r="L30" s="19" t="n">
        <f aca="false">L17*Assunzioni!$B$41</f>
        <v>32.2490302348607</v>
      </c>
      <c r="M30" s="19" t="n">
        <f aca="false">M17*Assunzioni!$B$41</f>
        <v>39.119702602504</v>
      </c>
      <c r="N30" s="19" t="n">
        <f aca="false">N17*Assunzioni!$B$41</f>
        <v>46.8460327816618</v>
      </c>
      <c r="O30" s="19" t="n">
        <f aca="false">O17*Assunzioni!$B$41</f>
        <v>55.5278075863129</v>
      </c>
      <c r="P30" s="19" t="n">
        <f aca="false">P17*Assunzioni!$B$41</f>
        <v>65.2764509686825</v>
      </c>
      <c r="Q30" s="19" t="n">
        <f aca="false">Q17*Assunzioni!$B$41</f>
        <v>76.2163811423041</v>
      </c>
      <c r="R30" s="19" t="n">
        <f aca="false">R17*Assunzioni!$B$41</f>
        <v>88.4865259727734</v>
      </c>
      <c r="S30" s="19" t="n">
        <f aca="false">S17*Assunzioni!$B$41</f>
        <v>102.242015093372</v>
      </c>
      <c r="T30" s="19" t="n">
        <f aca="false">T17*Assunzioni!$B$41</f>
        <v>117.656069355215</v>
      </c>
      <c r="U30" s="19" t="n">
        <f aca="false">U17*Assunzioni!$B$41</f>
        <v>134.922110625074</v>
      </c>
      <c r="V30" s="19" t="n">
        <f aca="false">V17*Assunzioni!$B$41</f>
        <v>154.256117627824</v>
      </c>
      <c r="W30" s="19" t="n">
        <f aca="false">W17*Assunzioni!$B$41</f>
        <v>175.899256527234</v>
      </c>
      <c r="X30" s="19" t="n">
        <f aca="false">X17*Assunzioni!$B$41</f>
        <v>200.120818285094</v>
      </c>
      <c r="Y30" s="19" t="n">
        <f aca="false">Y17*Assunzioni!$B$41</f>
        <v>227.221498575155</v>
      </c>
      <c r="Z30" s="19" t="n">
        <f aca="false">Z17*Assunzioni!$B$41</f>
        <v>257.537060200644</v>
      </c>
    </row>
    <row r="31" customFormat="false" ht="15" hidden="false" customHeight="true" outlineLevel="0" collapsed="false">
      <c r="A31" s="5" t="s">
        <v>125</v>
      </c>
      <c r="C31" s="18" t="n">
        <f aca="false">IF(C14&gt;=Assunzioni!$B$45,Assunzioni!$B$46,0)</f>
        <v>0</v>
      </c>
      <c r="D31" s="18" t="n">
        <f aca="false">IF(D14&gt;=Assunzioni!$B$45,Assunzioni!$B$46,0)</f>
        <v>0</v>
      </c>
      <c r="E31" s="18" t="n">
        <f aca="false">IF(E14&gt;=Assunzioni!$B$45,Assunzioni!$B$46,0)</f>
        <v>0</v>
      </c>
      <c r="F31" s="18" t="n">
        <f aca="false">IF(F14&gt;=Assunzioni!$B$45,Assunzioni!$B$46,0)</f>
        <v>0</v>
      </c>
      <c r="G31" s="18" t="n">
        <f aca="false">IF(G14&gt;=Assunzioni!$B$45,Assunzioni!$B$46,0)</f>
        <v>0</v>
      </c>
      <c r="H31" s="18" t="n">
        <f aca="false">IF(H14&gt;=Assunzioni!$B$45,Assunzioni!$B$46,0)</f>
        <v>0</v>
      </c>
      <c r="I31" s="18" t="n">
        <f aca="false">IF(I14&gt;=Assunzioni!$B$45,Assunzioni!$B$46,0)</f>
        <v>0</v>
      </c>
      <c r="J31" s="18" t="n">
        <f aca="false">IF(J14&gt;=Assunzioni!$B$45,Assunzioni!$B$46,0)</f>
        <v>0</v>
      </c>
      <c r="K31" s="18" t="n">
        <f aca="false">IF(K14&gt;=Assunzioni!$B$45,Assunzioni!$B$46,0)</f>
        <v>0</v>
      </c>
      <c r="L31" s="18" t="n">
        <f aca="false">IF(L14&gt;=Assunzioni!$B$45,Assunzioni!$B$46,0)</f>
        <v>0</v>
      </c>
      <c r="M31" s="18" t="n">
        <f aca="false">IF(M14&gt;=Assunzioni!$B$45,Assunzioni!$B$46,0)</f>
        <v>0</v>
      </c>
      <c r="N31" s="18" t="n">
        <f aca="false">IF(N14&gt;=Assunzioni!$B$45,Assunzioni!$B$46,0)</f>
        <v>0</v>
      </c>
      <c r="O31" s="18" t="n">
        <f aca="false">IF(O14&gt;=Assunzioni!$B$45,Assunzioni!$B$46,0)</f>
        <v>0</v>
      </c>
      <c r="P31" s="18" t="n">
        <f aca="false">IF(P14&gt;=Assunzioni!$B$45,Assunzioni!$B$46,0)</f>
        <v>0</v>
      </c>
      <c r="Q31" s="18" t="n">
        <f aca="false">IF(Q14&gt;=Assunzioni!$B$45,Assunzioni!$B$46,0)</f>
        <v>0</v>
      </c>
      <c r="R31" s="18" t="n">
        <f aca="false">IF(R14&gt;=Assunzioni!$B$45,Assunzioni!$B$46,0)</f>
        <v>20</v>
      </c>
      <c r="S31" s="18" t="n">
        <f aca="false">IF(S14&gt;=Assunzioni!$B$45,Assunzioni!$B$46,0)</f>
        <v>20</v>
      </c>
      <c r="T31" s="18" t="n">
        <f aca="false">IF(T14&gt;=Assunzioni!$B$45,Assunzioni!$B$46,0)</f>
        <v>20</v>
      </c>
      <c r="U31" s="18" t="n">
        <f aca="false">IF(U14&gt;=Assunzioni!$B$45,Assunzioni!$B$46,0)</f>
        <v>20</v>
      </c>
      <c r="V31" s="18" t="n">
        <f aca="false">IF(V14&gt;=Assunzioni!$B$45,Assunzioni!$B$46,0)</f>
        <v>20</v>
      </c>
      <c r="W31" s="18" t="n">
        <f aca="false">IF(W14&gt;=Assunzioni!$B$45,Assunzioni!$B$46,0)</f>
        <v>20</v>
      </c>
      <c r="X31" s="18" t="n">
        <f aca="false">IF(X14&gt;=Assunzioni!$B$45,Assunzioni!$B$46,0)</f>
        <v>20</v>
      </c>
      <c r="Y31" s="18" t="n">
        <f aca="false">IF(Y14&gt;=Assunzioni!$B$45,Assunzioni!$B$46,0)</f>
        <v>20</v>
      </c>
      <c r="Z31" s="18" t="n">
        <f aca="false">IF(Z14&gt;=Assunzioni!$B$45,Assunzioni!$B$46,0)</f>
        <v>20</v>
      </c>
    </row>
    <row r="32" customFormat="false" ht="15" hidden="false" customHeight="true" outlineLevel="0" collapsed="false">
      <c r="A32" s="5" t="s">
        <v>126</v>
      </c>
      <c r="C32" s="18" t="n">
        <f aca="false">IF(C$2=0,Assunzioni!$B$42,0)</f>
        <v>15</v>
      </c>
      <c r="D32" s="18" t="n">
        <f aca="false">IF(D$2=0,Assunzioni!$B$42,0)</f>
        <v>0</v>
      </c>
      <c r="E32" s="18" t="n">
        <f aca="false">IF(E$2=0,Assunzioni!$B$42,0)</f>
        <v>0</v>
      </c>
      <c r="F32" s="18" t="n">
        <f aca="false">IF(F$2=0,Assunzioni!$B$42,0)</f>
        <v>0</v>
      </c>
      <c r="G32" s="18" t="n">
        <f aca="false">IF(G$2=0,Assunzioni!$B$42,0)</f>
        <v>0</v>
      </c>
      <c r="H32" s="18" t="n">
        <f aca="false">IF(H$2=0,Assunzioni!$B$42,0)</f>
        <v>0</v>
      </c>
      <c r="I32" s="18" t="n">
        <f aca="false">IF(I$2=0,Assunzioni!$B$42,0)</f>
        <v>0</v>
      </c>
      <c r="J32" s="18" t="n">
        <f aca="false">IF(J$2=0,Assunzioni!$B$42,0)</f>
        <v>0</v>
      </c>
      <c r="K32" s="18" t="n">
        <f aca="false">IF(K$2=0,Assunzioni!$B$42,0)</f>
        <v>0</v>
      </c>
      <c r="L32" s="18" t="n">
        <f aca="false">IF(L$2=0,Assunzioni!$B$42,0)</f>
        <v>0</v>
      </c>
      <c r="M32" s="18" t="n">
        <f aca="false">IF(M$2=0,Assunzioni!$B$42,0)</f>
        <v>0</v>
      </c>
      <c r="N32" s="18" t="n">
        <f aca="false">IF(N$2=0,Assunzioni!$B$42,0)</f>
        <v>0</v>
      </c>
      <c r="O32" s="18" t="n">
        <f aca="false">IF(O$2=0,Assunzioni!$B$42,0)</f>
        <v>0</v>
      </c>
      <c r="P32" s="18" t="n">
        <f aca="false">IF(P$2=0,Assunzioni!$B$42,0)</f>
        <v>0</v>
      </c>
      <c r="Q32" s="18" t="n">
        <f aca="false">IF(Q$2=0,Assunzioni!$B$42,0)</f>
        <v>0</v>
      </c>
      <c r="R32" s="18" t="n">
        <f aca="false">IF(R$2=0,Assunzioni!$B$42,0)</f>
        <v>0</v>
      </c>
      <c r="S32" s="18" t="n">
        <f aca="false">IF(S$2=0,Assunzioni!$B$42,0)</f>
        <v>0</v>
      </c>
      <c r="T32" s="18" t="n">
        <f aca="false">IF(T$2=0,Assunzioni!$B$42,0)</f>
        <v>0</v>
      </c>
      <c r="U32" s="18" t="n">
        <f aca="false">IF(U$2=0,Assunzioni!$B$42,0)</f>
        <v>0</v>
      </c>
      <c r="V32" s="18" t="n">
        <f aca="false">IF(V$2=0,Assunzioni!$B$42,0)</f>
        <v>0</v>
      </c>
      <c r="W32" s="18" t="n">
        <f aca="false">IF(W$2=0,Assunzioni!$B$42,0)</f>
        <v>0</v>
      </c>
      <c r="X32" s="18" t="n">
        <f aca="false">IF(X$2=0,Assunzioni!$B$42,0)</f>
        <v>0</v>
      </c>
      <c r="Y32" s="18" t="n">
        <f aca="false">IF(Y$2=0,Assunzioni!$B$42,0)</f>
        <v>0</v>
      </c>
      <c r="Z32" s="18" t="n">
        <f aca="false">IF(Z$2=0,Assunzioni!$B$42,0)</f>
        <v>0</v>
      </c>
    </row>
    <row r="33" customFormat="false" ht="15" hidden="false" customHeight="true" outlineLevel="0" collapsed="false">
      <c r="A33" s="5" t="s">
        <v>127</v>
      </c>
      <c r="C33" s="18" t="n">
        <f aca="false">IF(C$2=Assunzioni!$B$40,Assunzioni!$B$43+Assunzioni!$B$44,0)</f>
        <v>0</v>
      </c>
      <c r="D33" s="18" t="n">
        <f aca="false">IF(D$2=Assunzioni!$B$40,Assunzioni!$B$43+Assunzioni!$B$44,0)</f>
        <v>0</v>
      </c>
      <c r="E33" s="18" t="n">
        <f aca="false">IF(E$2=Assunzioni!$B$40,Assunzioni!$B$43+Assunzioni!$B$44,0)</f>
        <v>0</v>
      </c>
      <c r="F33" s="18" t="n">
        <f aca="false">IF(F$2=Assunzioni!$B$40,Assunzioni!$B$43+Assunzioni!$B$44,0)</f>
        <v>0</v>
      </c>
      <c r="G33" s="18" t="n">
        <f aca="false">IF(G$2=Assunzioni!$B$40,Assunzioni!$B$43+Assunzioni!$B$44,0)</f>
        <v>0</v>
      </c>
      <c r="H33" s="18" t="n">
        <f aca="false">IF(H$2=Assunzioni!$B$40,Assunzioni!$B$43+Assunzioni!$B$44,0)</f>
        <v>0</v>
      </c>
      <c r="I33" s="18" t="n">
        <f aca="false">IF(I$2=Assunzioni!$B$40,Assunzioni!$B$43+Assunzioni!$B$44,0)</f>
        <v>0</v>
      </c>
      <c r="J33" s="18" t="n">
        <f aca="false">IF(J$2=Assunzioni!$B$40,Assunzioni!$B$43+Assunzioni!$B$44,0)</f>
        <v>0</v>
      </c>
      <c r="K33" s="18" t="n">
        <f aca="false">IF(K$2=Assunzioni!$B$40,Assunzioni!$B$43+Assunzioni!$B$44,0)</f>
        <v>0</v>
      </c>
      <c r="L33" s="18" t="n">
        <f aca="false">IF(L$2=Assunzioni!$B$40,Assunzioni!$B$43+Assunzioni!$B$44,0)</f>
        <v>118</v>
      </c>
      <c r="M33" s="18" t="n">
        <f aca="false">IF(M$2=Assunzioni!$B$40,Assunzioni!$B$43+Assunzioni!$B$44,0)</f>
        <v>0</v>
      </c>
      <c r="N33" s="18" t="n">
        <f aca="false">IF(N$2=Assunzioni!$B$40,Assunzioni!$B$43+Assunzioni!$B$44,0)</f>
        <v>0</v>
      </c>
      <c r="O33" s="18" t="n">
        <f aca="false">IF(O$2=Assunzioni!$B$40,Assunzioni!$B$43+Assunzioni!$B$44,0)</f>
        <v>0</v>
      </c>
      <c r="P33" s="18" t="n">
        <f aca="false">IF(P$2=Assunzioni!$B$40,Assunzioni!$B$43+Assunzioni!$B$44,0)</f>
        <v>0</v>
      </c>
      <c r="Q33" s="18" t="n">
        <f aca="false">IF(Q$2=Assunzioni!$B$40,Assunzioni!$B$43+Assunzioni!$B$44,0)</f>
        <v>0</v>
      </c>
      <c r="R33" s="18" t="n">
        <f aca="false">IF(R$2=Assunzioni!$B$40,Assunzioni!$B$43+Assunzioni!$B$44,0)</f>
        <v>0</v>
      </c>
      <c r="S33" s="18" t="n">
        <f aca="false">IF(S$2=Assunzioni!$B$40,Assunzioni!$B$43+Assunzioni!$B$44,0)</f>
        <v>0</v>
      </c>
      <c r="T33" s="18" t="n">
        <f aca="false">IF(T$2=Assunzioni!$B$40,Assunzioni!$B$43+Assunzioni!$B$44,0)</f>
        <v>0</v>
      </c>
      <c r="U33" s="18" t="n">
        <f aca="false">IF(U$2=Assunzioni!$B$40,Assunzioni!$B$43+Assunzioni!$B$44,0)</f>
        <v>0</v>
      </c>
      <c r="V33" s="18" t="n">
        <f aca="false">IF(V$2=Assunzioni!$B$40,Assunzioni!$B$43+Assunzioni!$B$44,0)</f>
        <v>0</v>
      </c>
      <c r="W33" s="18" t="n">
        <f aca="false">IF(W$2=Assunzioni!$B$40,Assunzioni!$B$43+Assunzioni!$B$44,0)</f>
        <v>0</v>
      </c>
      <c r="X33" s="18" t="n">
        <f aca="false">IF(X$2=Assunzioni!$B$40,Assunzioni!$B$43+Assunzioni!$B$44,0)</f>
        <v>0</v>
      </c>
      <c r="Y33" s="18" t="n">
        <f aca="false">IF(Y$2=Assunzioni!$B$40,Assunzioni!$B$43+Assunzioni!$B$44,0)</f>
        <v>0</v>
      </c>
      <c r="Z33" s="18" t="n">
        <f aca="false">IF(Z$2=Assunzioni!$B$40,Assunzioni!$B$43+Assunzioni!$B$44,0)</f>
        <v>0</v>
      </c>
    </row>
    <row r="34" customFormat="false" ht="15" hidden="false" customHeight="true" outlineLevel="0" collapsed="false">
      <c r="A34" s="11" t="s">
        <v>128</v>
      </c>
      <c r="C34" s="17" t="n">
        <f aca="false">SUM(C28:C33)</f>
        <v>60</v>
      </c>
      <c r="D34" s="17" t="n">
        <f aca="false">SUM(D28:D33)</f>
        <v>45</v>
      </c>
      <c r="E34" s="17" t="n">
        <f aca="false">SUM(E28:E33)</f>
        <v>45</v>
      </c>
      <c r="F34" s="17" t="n">
        <f aca="false">SUM(F28:F33)</f>
        <v>53.6</v>
      </c>
      <c r="G34" s="17" t="n">
        <f aca="false">SUM(G28:G33)</f>
        <v>55.858</v>
      </c>
      <c r="H34" s="17" t="n">
        <f aca="false">SUM(H28:H33)</f>
        <v>58.221324</v>
      </c>
      <c r="I34" s="17" t="n">
        <f aca="false">SUM(I28:I33)</f>
        <v>60.709076952</v>
      </c>
      <c r="J34" s="17" t="n">
        <f aca="false">SUM(J28:J33)</f>
        <v>67.1508765894901</v>
      </c>
      <c r="K34" s="17" t="n">
        <f aca="false">SUM(K28:K33)</f>
        <v>71.3666848618601</v>
      </c>
      <c r="L34" s="17" t="n">
        <f aca="false">SUM(L28:L33)</f>
        <v>210.249030234861</v>
      </c>
      <c r="M34" s="17" t="n">
        <f aca="false">SUM(M28:M33)</f>
        <v>99.119702602504</v>
      </c>
      <c r="N34" s="17" t="n">
        <f aca="false">SUM(N28:N33)</f>
        <v>106.846032781662</v>
      </c>
      <c r="O34" s="17" t="n">
        <f aca="false">SUM(O28:O33)</f>
        <v>115.527807586313</v>
      </c>
      <c r="P34" s="17" t="n">
        <f aca="false">SUM(P28:P33)</f>
        <v>125.276450968683</v>
      </c>
      <c r="Q34" s="17" t="n">
        <f aca="false">SUM(Q28:Q33)</f>
        <v>136.216381142304</v>
      </c>
      <c r="R34" s="17" t="n">
        <f aca="false">SUM(R28:R33)</f>
        <v>168.486525972773</v>
      </c>
      <c r="S34" s="17" t="n">
        <f aca="false">SUM(S28:S33)</f>
        <v>182.242015093372</v>
      </c>
      <c r="T34" s="17" t="n">
        <f aca="false">SUM(T28:T33)</f>
        <v>197.656069355215</v>
      </c>
      <c r="U34" s="17" t="n">
        <f aca="false">SUM(U28:U33)</f>
        <v>214.922110625074</v>
      </c>
      <c r="V34" s="17" t="n">
        <f aca="false">SUM(V28:V33)</f>
        <v>234.256117627824</v>
      </c>
      <c r="W34" s="17" t="n">
        <f aca="false">SUM(W28:W33)</f>
        <v>255.899256527234</v>
      </c>
      <c r="X34" s="17" t="n">
        <f aca="false">SUM(X28:X33)</f>
        <v>280.120818285094</v>
      </c>
      <c r="Y34" s="17" t="n">
        <f aca="false">SUM(Y28:Y33)</f>
        <v>307.221498575155</v>
      </c>
      <c r="Z34" s="17" t="n">
        <f aca="false">SUM(Z28:Z33)</f>
        <v>337.537060200644</v>
      </c>
    </row>
    <row r="36" customFormat="false" ht="15" hidden="false" customHeight="true" outlineLevel="0" collapsed="false">
      <c r="A36" s="4" t="s">
        <v>129</v>
      </c>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 hidden="false" customHeight="true" outlineLevel="0" collapsed="false">
      <c r="A37" s="5" t="s">
        <v>130</v>
      </c>
      <c r="C37" s="18" t="n">
        <f aca="false">IF(C$2&lt;Assunzioni!$B$58,Assunzioni!$B$57,Assunzioni!$B$60/12)</f>
        <v>50</v>
      </c>
      <c r="D37" s="18" t="n">
        <f aca="false">IF(D$2&lt;Assunzioni!$B$58,Assunzioni!$B$57,Assunzioni!$B$60/12)</f>
        <v>50</v>
      </c>
      <c r="E37" s="18" t="n">
        <f aca="false">IF(E$2&lt;Assunzioni!$B$58,Assunzioni!$B$57,Assunzioni!$B$60/12)</f>
        <v>50</v>
      </c>
      <c r="F37" s="18" t="n">
        <f aca="false">IF(F$2&lt;Assunzioni!$B$58,Assunzioni!$B$57,Assunzioni!$B$60/12)</f>
        <v>50</v>
      </c>
      <c r="G37" s="18" t="n">
        <f aca="false">IF(G$2&lt;Assunzioni!$B$58,Assunzioni!$B$57,Assunzioni!$B$60/12)</f>
        <v>50</v>
      </c>
      <c r="H37" s="18" t="n">
        <f aca="false">IF(H$2&lt;Assunzioni!$B$58,Assunzioni!$B$57,Assunzioni!$B$60/12)</f>
        <v>50</v>
      </c>
      <c r="I37" s="18" t="n">
        <f aca="false">IF(I$2&lt;Assunzioni!$B$58,Assunzioni!$B$57,Assunzioni!$B$60/12)</f>
        <v>50</v>
      </c>
      <c r="J37" s="18" t="n">
        <f aca="false">IF(J$2&lt;Assunzioni!$B$58,Assunzioni!$B$57,Assunzioni!$B$60/12)</f>
        <v>50</v>
      </c>
      <c r="K37" s="18" t="n">
        <f aca="false">IF(K$2&lt;Assunzioni!$B$58,Assunzioni!$B$57,Assunzioni!$B$60/12)</f>
        <v>50</v>
      </c>
      <c r="L37" s="18" t="n">
        <f aca="false">IF(L$2&lt;Assunzioni!$B$58,Assunzioni!$B$57,Assunzioni!$B$60/12)</f>
        <v>50</v>
      </c>
      <c r="M37" s="18" t="n">
        <f aca="false">IF(M$2&lt;Assunzioni!$B$58,Assunzioni!$B$57,Assunzioni!$B$60/12)</f>
        <v>50</v>
      </c>
      <c r="N37" s="18" t="n">
        <f aca="false">IF(N$2&lt;Assunzioni!$B$58,Assunzioni!$B$57,Assunzioni!$B$60/12)</f>
        <v>50</v>
      </c>
      <c r="O37" s="18" t="n">
        <f aca="false">IF(O$2&lt;Assunzioni!$B$58,Assunzioni!$B$57,Assunzioni!$B$60/12)</f>
        <v>50</v>
      </c>
      <c r="P37" s="18" t="n">
        <f aca="false">IF(P$2&lt;Assunzioni!$B$58,Assunzioni!$B$57,Assunzioni!$B$60/12)</f>
        <v>50</v>
      </c>
      <c r="Q37" s="18" t="n">
        <f aca="false">IF(Q$2&lt;Assunzioni!$B$58,Assunzioni!$B$57,Assunzioni!$B$60/12)</f>
        <v>50</v>
      </c>
      <c r="R37" s="18" t="n">
        <f aca="false">IF(R$2&lt;Assunzioni!$B$58,Assunzioni!$B$57,Assunzioni!$B$60/12)</f>
        <v>50</v>
      </c>
      <c r="S37" s="18" t="n">
        <f aca="false">IF(S$2&lt;Assunzioni!$B$58,Assunzioni!$B$57,Assunzioni!$B$60/12)</f>
        <v>50</v>
      </c>
      <c r="T37" s="18" t="n">
        <f aca="false">IF(T$2&lt;Assunzioni!$B$58,Assunzioni!$B$57,Assunzioni!$B$60/12)</f>
        <v>50</v>
      </c>
      <c r="U37" s="18" t="n">
        <f aca="false">IF(U$2&lt;Assunzioni!$B$58,Assunzioni!$B$57,Assunzioni!$B$60/12)</f>
        <v>833.333333333333</v>
      </c>
      <c r="V37" s="18" t="n">
        <f aca="false">IF(V$2&lt;Assunzioni!$B$58,Assunzioni!$B$57,Assunzioni!$B$60/12)</f>
        <v>833.333333333333</v>
      </c>
      <c r="W37" s="18" t="n">
        <f aca="false">IF(W$2&lt;Assunzioni!$B$58,Assunzioni!$B$57,Assunzioni!$B$60/12)</f>
        <v>833.333333333333</v>
      </c>
      <c r="X37" s="18" t="n">
        <f aca="false">IF(X$2&lt;Assunzioni!$B$58,Assunzioni!$B$57,Assunzioni!$B$60/12)</f>
        <v>833.333333333333</v>
      </c>
      <c r="Y37" s="18" t="n">
        <f aca="false">IF(Y$2&lt;Assunzioni!$B$58,Assunzioni!$B$57,Assunzioni!$B$60/12)</f>
        <v>833.333333333333</v>
      </c>
      <c r="Z37" s="18" t="n">
        <f aca="false">IF(Z$2&lt;Assunzioni!$B$58,Assunzioni!$B$57,Assunzioni!$B$60/12)</f>
        <v>833.333333333333</v>
      </c>
    </row>
    <row r="38" customFormat="false" ht="15" hidden="false" customHeight="true" outlineLevel="0" collapsed="false">
      <c r="A38" s="5" t="s">
        <v>131</v>
      </c>
      <c r="C38" s="18" t="n">
        <f aca="false">IF(C$2=Assunzioni!$B$58,Assunzioni!$B$59,0)</f>
        <v>0</v>
      </c>
      <c r="D38" s="18" t="n">
        <f aca="false">IF(D$2=Assunzioni!$B$58,Assunzioni!$B$59,0)</f>
        <v>0</v>
      </c>
      <c r="E38" s="18" t="n">
        <f aca="false">IF(E$2=Assunzioni!$B$58,Assunzioni!$B$59,0)</f>
        <v>0</v>
      </c>
      <c r="F38" s="18" t="n">
        <f aca="false">IF(F$2=Assunzioni!$B$58,Assunzioni!$B$59,0)</f>
        <v>0</v>
      </c>
      <c r="G38" s="18" t="n">
        <f aca="false">IF(G$2=Assunzioni!$B$58,Assunzioni!$B$59,0)</f>
        <v>0</v>
      </c>
      <c r="H38" s="18" t="n">
        <f aca="false">IF(H$2=Assunzioni!$B$58,Assunzioni!$B$59,0)</f>
        <v>0</v>
      </c>
      <c r="I38" s="18" t="n">
        <f aca="false">IF(I$2=Assunzioni!$B$58,Assunzioni!$B$59,0)</f>
        <v>0</v>
      </c>
      <c r="J38" s="18" t="n">
        <f aca="false">IF(J$2=Assunzioni!$B$58,Assunzioni!$B$59,0)</f>
        <v>0</v>
      </c>
      <c r="K38" s="18" t="n">
        <f aca="false">IF(K$2=Assunzioni!$B$58,Assunzioni!$B$59,0)</f>
        <v>0</v>
      </c>
      <c r="L38" s="18" t="n">
        <f aca="false">IF(L$2=Assunzioni!$B$58,Assunzioni!$B$59,0)</f>
        <v>0</v>
      </c>
      <c r="M38" s="18" t="n">
        <f aca="false">IF(M$2=Assunzioni!$B$58,Assunzioni!$B$59,0)</f>
        <v>0</v>
      </c>
      <c r="N38" s="18" t="n">
        <f aca="false">IF(N$2=Assunzioni!$B$58,Assunzioni!$B$59,0)</f>
        <v>0</v>
      </c>
      <c r="O38" s="18" t="n">
        <f aca="false">IF(O$2=Assunzioni!$B$58,Assunzioni!$B$59,0)</f>
        <v>0</v>
      </c>
      <c r="P38" s="18" t="n">
        <f aca="false">IF(P$2=Assunzioni!$B$58,Assunzioni!$B$59,0)</f>
        <v>0</v>
      </c>
      <c r="Q38" s="18" t="n">
        <f aca="false">IF(Q$2=Assunzioni!$B$58,Assunzioni!$B$59,0)</f>
        <v>0</v>
      </c>
      <c r="R38" s="18" t="n">
        <f aca="false">IF(R$2=Assunzioni!$B$58,Assunzioni!$B$59,0)</f>
        <v>0</v>
      </c>
      <c r="S38" s="18" t="n">
        <f aca="false">IF(S$2=Assunzioni!$B$58,Assunzioni!$B$59,0)</f>
        <v>0</v>
      </c>
      <c r="T38" s="18" t="n">
        <f aca="false">IF(T$2=Assunzioni!$B$58,Assunzioni!$B$59,0)</f>
        <v>0</v>
      </c>
      <c r="U38" s="18" t="n">
        <f aca="false">IF(U$2=Assunzioni!$B$58,Assunzioni!$B$59,0)</f>
        <v>2500</v>
      </c>
      <c r="V38" s="18" t="n">
        <f aca="false">IF(V$2=Assunzioni!$B$58,Assunzioni!$B$59,0)</f>
        <v>0</v>
      </c>
      <c r="W38" s="18" t="n">
        <f aca="false">IF(W$2=Assunzioni!$B$58,Assunzioni!$B$59,0)</f>
        <v>0</v>
      </c>
      <c r="X38" s="18" t="n">
        <f aca="false">IF(X$2=Assunzioni!$B$58,Assunzioni!$B$59,0)</f>
        <v>0</v>
      </c>
      <c r="Y38" s="18" t="n">
        <f aca="false">IF(Y$2=Assunzioni!$B$58,Assunzioni!$B$59,0)</f>
        <v>0</v>
      </c>
      <c r="Z38" s="18" t="n">
        <f aca="false">IF(Z$2=Assunzioni!$B$58,Assunzioni!$B$59,0)</f>
        <v>0</v>
      </c>
    </row>
    <row r="39" customFormat="false" ht="15" hidden="false" customHeight="true" outlineLevel="0" collapsed="false">
      <c r="A39" s="11" t="s">
        <v>132</v>
      </c>
      <c r="C39" s="18" t="n">
        <f aca="false">C37+C38</f>
        <v>50</v>
      </c>
      <c r="D39" s="18" t="n">
        <f aca="false">D37+D38</f>
        <v>50</v>
      </c>
      <c r="E39" s="18" t="n">
        <f aca="false">E37+E38</f>
        <v>50</v>
      </c>
      <c r="F39" s="18" t="n">
        <f aca="false">F37+F38</f>
        <v>50</v>
      </c>
      <c r="G39" s="18" t="n">
        <f aca="false">G37+G38</f>
        <v>50</v>
      </c>
      <c r="H39" s="18" t="n">
        <f aca="false">H37+H38</f>
        <v>50</v>
      </c>
      <c r="I39" s="18" t="n">
        <f aca="false">I37+I38</f>
        <v>50</v>
      </c>
      <c r="J39" s="18" t="n">
        <f aca="false">J37+J38</f>
        <v>50</v>
      </c>
      <c r="K39" s="18" t="n">
        <f aca="false">K37+K38</f>
        <v>50</v>
      </c>
      <c r="L39" s="18" t="n">
        <f aca="false">L37+L38</f>
        <v>50</v>
      </c>
      <c r="M39" s="18" t="n">
        <f aca="false">M37+M38</f>
        <v>50</v>
      </c>
      <c r="N39" s="18" t="n">
        <f aca="false">N37+N38</f>
        <v>50</v>
      </c>
      <c r="O39" s="18" t="n">
        <f aca="false">O37+O38</f>
        <v>50</v>
      </c>
      <c r="P39" s="18" t="n">
        <f aca="false">P37+P38</f>
        <v>50</v>
      </c>
      <c r="Q39" s="18" t="n">
        <f aca="false">Q37+Q38</f>
        <v>50</v>
      </c>
      <c r="R39" s="18" t="n">
        <f aca="false">R37+R38</f>
        <v>50</v>
      </c>
      <c r="S39" s="18" t="n">
        <f aca="false">S37+S38</f>
        <v>50</v>
      </c>
      <c r="T39" s="18" t="n">
        <f aca="false">T37+T38</f>
        <v>50</v>
      </c>
      <c r="U39" s="18" t="n">
        <f aca="false">U37+U38</f>
        <v>3333.33333333333</v>
      </c>
      <c r="V39" s="18" t="n">
        <f aca="false">V37+V38</f>
        <v>833.333333333333</v>
      </c>
      <c r="W39" s="18" t="n">
        <f aca="false">W37+W38</f>
        <v>833.333333333333</v>
      </c>
      <c r="X39" s="18" t="n">
        <f aca="false">X37+X38</f>
        <v>833.333333333333</v>
      </c>
      <c r="Y39" s="18" t="n">
        <f aca="false">Y37+Y38</f>
        <v>833.333333333333</v>
      </c>
      <c r="Z39" s="18" t="n">
        <f aca="false">Z37+Z38</f>
        <v>833.333333333333</v>
      </c>
    </row>
    <row r="41" customFormat="false" ht="15" hidden="false" customHeight="true" outlineLevel="0" collapsed="false">
      <c r="A41" s="4" t="s">
        <v>133</v>
      </c>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 hidden="false" customHeight="true" outlineLevel="0" collapsed="false">
      <c r="A42" s="5" t="s">
        <v>134</v>
      </c>
      <c r="C42" s="18" t="n">
        <f aca="false">IF(C$2=0,Assunzioni!$B$49,0)</f>
        <v>150</v>
      </c>
      <c r="D42" s="18" t="n">
        <f aca="false">IF(D$2=0,Assunzioni!$B$49,0)</f>
        <v>0</v>
      </c>
      <c r="E42" s="18" t="n">
        <f aca="false">IF(E$2=0,Assunzioni!$B$49,0)</f>
        <v>0</v>
      </c>
      <c r="F42" s="18" t="n">
        <f aca="false">IF(F$2=0,Assunzioni!$B$49,0)</f>
        <v>0</v>
      </c>
      <c r="G42" s="18" t="n">
        <f aca="false">IF(G$2=0,Assunzioni!$B$49,0)</f>
        <v>0</v>
      </c>
      <c r="H42" s="18" t="n">
        <f aca="false">IF(H$2=0,Assunzioni!$B$49,0)</f>
        <v>0</v>
      </c>
      <c r="I42" s="18" t="n">
        <f aca="false">IF(I$2=0,Assunzioni!$B$49,0)</f>
        <v>0</v>
      </c>
      <c r="J42" s="18" t="n">
        <f aca="false">IF(J$2=0,Assunzioni!$B$49,0)</f>
        <v>0</v>
      </c>
      <c r="K42" s="18" t="n">
        <f aca="false">IF(K$2=0,Assunzioni!$B$49,0)</f>
        <v>0</v>
      </c>
      <c r="L42" s="18" t="n">
        <f aca="false">IF(L$2=0,Assunzioni!$B$49,0)</f>
        <v>0</v>
      </c>
      <c r="M42" s="18" t="n">
        <f aca="false">IF(M$2=0,Assunzioni!$B$49,0)</f>
        <v>0</v>
      </c>
      <c r="N42" s="18" t="n">
        <f aca="false">IF(N$2=0,Assunzioni!$B$49,0)</f>
        <v>0</v>
      </c>
      <c r="O42" s="18" t="n">
        <f aca="false">IF(O$2=0,Assunzioni!$B$49,0)</f>
        <v>0</v>
      </c>
      <c r="P42" s="18" t="n">
        <f aca="false">IF(P$2=0,Assunzioni!$B$49,0)</f>
        <v>0</v>
      </c>
      <c r="Q42" s="18" t="n">
        <f aca="false">IF(Q$2=0,Assunzioni!$B$49,0)</f>
        <v>0</v>
      </c>
      <c r="R42" s="18" t="n">
        <f aca="false">IF(R$2=0,Assunzioni!$B$49,0)</f>
        <v>0</v>
      </c>
      <c r="S42" s="18" t="n">
        <f aca="false">IF(S$2=0,Assunzioni!$B$49,0)</f>
        <v>0</v>
      </c>
      <c r="T42" s="18" t="n">
        <f aca="false">IF(T$2=0,Assunzioni!$B$49,0)</f>
        <v>0</v>
      </c>
      <c r="U42" s="18" t="n">
        <f aca="false">IF(U$2=0,Assunzioni!$B$49,0)</f>
        <v>0</v>
      </c>
      <c r="V42" s="18" t="n">
        <f aca="false">IF(V$2=0,Assunzioni!$B$49,0)</f>
        <v>0</v>
      </c>
      <c r="W42" s="18" t="n">
        <f aca="false">IF(W$2=0,Assunzioni!$B$49,0)</f>
        <v>0</v>
      </c>
      <c r="X42" s="18" t="n">
        <f aca="false">IF(X$2=0,Assunzioni!$B$49,0)</f>
        <v>0</v>
      </c>
      <c r="Y42" s="18" t="n">
        <f aca="false">IF(Y$2=0,Assunzioni!$B$49,0)</f>
        <v>0</v>
      </c>
      <c r="Z42" s="18" t="n">
        <f aca="false">IF(Z$2=0,Assunzioni!$B$49,0)</f>
        <v>0</v>
      </c>
    </row>
    <row r="43" customFormat="false" ht="15" hidden="false" customHeight="true" outlineLevel="0" collapsed="false">
      <c r="A43" s="5" t="s">
        <v>135</v>
      </c>
      <c r="C43" s="18" t="n">
        <f aca="false">IF(C$2&gt;=1,Assunzioni!$B$50,0)</f>
        <v>0</v>
      </c>
      <c r="D43" s="18" t="n">
        <f aca="false">IF(D$2&gt;=1,Assunzioni!$B$50,0)</f>
        <v>40</v>
      </c>
      <c r="E43" s="18" t="n">
        <f aca="false">IF(E$2&gt;=1,Assunzioni!$B$50,0)</f>
        <v>40</v>
      </c>
      <c r="F43" s="18" t="n">
        <f aca="false">IF(F$2&gt;=1,Assunzioni!$B$50,0)</f>
        <v>40</v>
      </c>
      <c r="G43" s="18" t="n">
        <f aca="false">IF(G$2&gt;=1,Assunzioni!$B$50,0)</f>
        <v>40</v>
      </c>
      <c r="H43" s="18" t="n">
        <f aca="false">IF(H$2&gt;=1,Assunzioni!$B$50,0)</f>
        <v>40</v>
      </c>
      <c r="I43" s="18" t="n">
        <f aca="false">IF(I$2&gt;=1,Assunzioni!$B$50,0)</f>
        <v>40</v>
      </c>
      <c r="J43" s="18" t="n">
        <f aca="false">IF(J$2&gt;=1,Assunzioni!$B$50,0)</f>
        <v>40</v>
      </c>
      <c r="K43" s="18" t="n">
        <f aca="false">IF(K$2&gt;=1,Assunzioni!$B$50,0)</f>
        <v>40</v>
      </c>
      <c r="L43" s="18" t="n">
        <f aca="false">IF(L$2&gt;=1,Assunzioni!$B$50,0)</f>
        <v>40</v>
      </c>
      <c r="M43" s="18" t="n">
        <f aca="false">IF(M$2&gt;=1,Assunzioni!$B$50,0)</f>
        <v>40</v>
      </c>
      <c r="N43" s="18" t="n">
        <f aca="false">IF(N$2&gt;=1,Assunzioni!$B$50,0)</f>
        <v>40</v>
      </c>
      <c r="O43" s="18" t="n">
        <f aca="false">IF(O$2&gt;=1,Assunzioni!$B$50,0)</f>
        <v>40</v>
      </c>
      <c r="P43" s="18" t="n">
        <f aca="false">IF(P$2&gt;=1,Assunzioni!$B$50,0)</f>
        <v>40</v>
      </c>
      <c r="Q43" s="18" t="n">
        <f aca="false">IF(Q$2&gt;=1,Assunzioni!$B$50,0)</f>
        <v>40</v>
      </c>
      <c r="R43" s="18" t="n">
        <f aca="false">IF(R$2&gt;=1,Assunzioni!$B$50,0)</f>
        <v>40</v>
      </c>
      <c r="S43" s="18" t="n">
        <f aca="false">IF(S$2&gt;=1,Assunzioni!$B$50,0)</f>
        <v>40</v>
      </c>
      <c r="T43" s="18" t="n">
        <f aca="false">IF(T$2&gt;=1,Assunzioni!$B$50,0)</f>
        <v>40</v>
      </c>
      <c r="U43" s="18" t="n">
        <f aca="false">IF(U$2&gt;=1,Assunzioni!$B$50,0)</f>
        <v>40</v>
      </c>
      <c r="V43" s="18" t="n">
        <f aca="false">IF(V$2&gt;=1,Assunzioni!$B$50,0)</f>
        <v>40</v>
      </c>
      <c r="W43" s="18" t="n">
        <f aca="false">IF(W$2&gt;=1,Assunzioni!$B$50,0)</f>
        <v>40</v>
      </c>
      <c r="X43" s="18" t="n">
        <f aca="false">IF(X$2&gt;=1,Assunzioni!$B$50,0)</f>
        <v>40</v>
      </c>
      <c r="Y43" s="18" t="n">
        <f aca="false">IF(Y$2&gt;=1,Assunzioni!$B$50,0)</f>
        <v>40</v>
      </c>
      <c r="Z43" s="18" t="n">
        <f aca="false">IF(Z$2&gt;=1,Assunzioni!$B$50,0)</f>
        <v>40</v>
      </c>
    </row>
    <row r="44" customFormat="false" ht="15" hidden="false" customHeight="true" outlineLevel="0" collapsed="false">
      <c r="A44" s="5" t="s">
        <v>136</v>
      </c>
      <c r="C44" s="18" t="n">
        <f aca="false">IF(C$2&gt;=Assunzioni!$B$16,Assunzioni!$B$14,0)</f>
        <v>0</v>
      </c>
      <c r="D44" s="18" t="n">
        <f aca="false">IF(D$2&gt;=Assunzioni!$B$16,Assunzioni!$B$14,0)</f>
        <v>100</v>
      </c>
      <c r="E44" s="18" t="n">
        <f aca="false">IF(E$2&gt;=Assunzioni!$B$16,Assunzioni!$B$14,0)</f>
        <v>100</v>
      </c>
      <c r="F44" s="18" t="n">
        <f aca="false">IF(F$2&gt;=Assunzioni!$B$16,Assunzioni!$B$14,0)</f>
        <v>100</v>
      </c>
      <c r="G44" s="18" t="n">
        <f aca="false">IF(G$2&gt;=Assunzioni!$B$16,Assunzioni!$B$14,0)</f>
        <v>100</v>
      </c>
      <c r="H44" s="18" t="n">
        <f aca="false">IF(H$2&gt;=Assunzioni!$B$16,Assunzioni!$B$14,0)</f>
        <v>100</v>
      </c>
      <c r="I44" s="18" t="n">
        <f aca="false">IF(I$2&gt;=Assunzioni!$B$16,Assunzioni!$B$14,0)</f>
        <v>100</v>
      </c>
      <c r="J44" s="18" t="n">
        <f aca="false">IF(J$2&gt;=Assunzioni!$B$16,Assunzioni!$B$14,0)</f>
        <v>100</v>
      </c>
      <c r="K44" s="18" t="n">
        <f aca="false">IF(K$2&gt;=Assunzioni!$B$16,Assunzioni!$B$14,0)</f>
        <v>100</v>
      </c>
      <c r="L44" s="18" t="n">
        <f aca="false">IF(L$2&gt;=Assunzioni!$B$16,Assunzioni!$B$14,0)</f>
        <v>100</v>
      </c>
      <c r="M44" s="18" t="n">
        <f aca="false">IF(M$2&gt;=Assunzioni!$B$16,Assunzioni!$B$14,0)</f>
        <v>100</v>
      </c>
      <c r="N44" s="18" t="n">
        <f aca="false">IF(N$2&gt;=Assunzioni!$B$16,Assunzioni!$B$14,0)</f>
        <v>100</v>
      </c>
      <c r="O44" s="18" t="n">
        <f aca="false">IF(O$2&gt;=Assunzioni!$B$16,Assunzioni!$B$14,0)</f>
        <v>100</v>
      </c>
      <c r="P44" s="18" t="n">
        <f aca="false">IF(P$2&gt;=Assunzioni!$B$16,Assunzioni!$B$14,0)</f>
        <v>100</v>
      </c>
      <c r="Q44" s="18" t="n">
        <f aca="false">IF(Q$2&gt;=Assunzioni!$B$16,Assunzioni!$B$14,0)</f>
        <v>100</v>
      </c>
      <c r="R44" s="18" t="n">
        <f aca="false">IF(R$2&gt;=Assunzioni!$B$16,Assunzioni!$B$14,0)</f>
        <v>100</v>
      </c>
      <c r="S44" s="18" t="n">
        <f aca="false">IF(S$2&gt;=Assunzioni!$B$16,Assunzioni!$B$14,0)</f>
        <v>100</v>
      </c>
      <c r="T44" s="18" t="n">
        <f aca="false">IF(T$2&gt;=Assunzioni!$B$16,Assunzioni!$B$14,0)</f>
        <v>100</v>
      </c>
      <c r="U44" s="18" t="n">
        <f aca="false">IF(U$2&gt;=Assunzioni!$B$16,Assunzioni!$B$14,0)</f>
        <v>100</v>
      </c>
      <c r="V44" s="18" t="n">
        <f aca="false">IF(V$2&gt;=Assunzioni!$B$16,Assunzioni!$B$14,0)</f>
        <v>100</v>
      </c>
      <c r="W44" s="18" t="n">
        <f aca="false">IF(W$2&gt;=Assunzioni!$B$16,Assunzioni!$B$14,0)</f>
        <v>100</v>
      </c>
      <c r="X44" s="18" t="n">
        <f aca="false">IF(X$2&gt;=Assunzioni!$B$16,Assunzioni!$B$14,0)</f>
        <v>100</v>
      </c>
      <c r="Y44" s="18" t="n">
        <f aca="false">IF(Y$2&gt;=Assunzioni!$B$16,Assunzioni!$B$14,0)</f>
        <v>100</v>
      </c>
      <c r="Z44" s="18" t="n">
        <f aca="false">IF(Z$2&gt;=Assunzioni!$B$16,Assunzioni!$B$14,0)</f>
        <v>100</v>
      </c>
    </row>
    <row r="45" customFormat="false" ht="15" hidden="false" customHeight="true" outlineLevel="0" collapsed="false">
      <c r="A45" s="5" t="s">
        <v>137</v>
      </c>
      <c r="C45" s="18" t="n">
        <f aca="false">MAX(0,MIN(Assunzioni!$B$51+Assunzioni!$B$52*0,C58-Assunzioni!$B$7))</f>
        <v>200</v>
      </c>
      <c r="D45" s="18" t="n">
        <f aca="false">MAX(0,MIN(Assunzioni!$B$51+Assunzioni!$B$52*C25,D58-Assunzioni!$B$7))</f>
        <v>200</v>
      </c>
      <c r="E45" s="18" t="n">
        <f aca="false">MAX(0,MIN(Assunzioni!$B$51+Assunzioni!$B$52*D25,E58-Assunzioni!$B$7))</f>
        <v>200</v>
      </c>
      <c r="F45" s="18" t="n">
        <f aca="false">MAX(0,MIN(Assunzioni!$B$51+Assunzioni!$B$52*E25,F58-Assunzioni!$B$7))</f>
        <v>200</v>
      </c>
      <c r="G45" s="18" t="n">
        <f aca="false">MAX(0,MIN(Assunzioni!$B$51+Assunzioni!$B$52*F25,G58-Assunzioni!$B$7))</f>
        <v>286</v>
      </c>
      <c r="H45" s="18" t="n">
        <f aca="false">MAX(0,MIN(Assunzioni!$B$51+Assunzioni!$B$52*G25,H58-Assunzioni!$B$7))</f>
        <v>321.108</v>
      </c>
      <c r="I45" s="18" t="n">
        <f aca="false">MAX(0,MIN(Assunzioni!$B$51+Assunzioni!$B$52*H25,I58-Assunzioni!$B$7))</f>
        <v>362.584317333333</v>
      </c>
      <c r="J45" s="18" t="n">
        <f aca="false">MAX(0,MIN(Assunzioni!$B$51+Assunzioni!$B$52*I25,J58-Assunzioni!$B$7))</f>
        <v>410.933028208</v>
      </c>
      <c r="K45" s="18" t="n">
        <f aca="false">MAX(0,MIN(Assunzioni!$B$51+Assunzioni!$B$52*J25,K58-Assunzioni!$B$7))</f>
        <v>525.175711384769</v>
      </c>
      <c r="L45" s="18" t="n">
        <f aca="false">MAX(0,MIN(Assunzioni!$B$51+Assunzioni!$B$52*K25,L58-Assunzioni!$B$7))</f>
        <v>887.466385434925</v>
      </c>
      <c r="M45" s="18" t="n">
        <f aca="false">MAX(0,MIN(Assunzioni!$B$51+Assunzioni!$B$52*L25,M58-Assunzioni!$B$7))</f>
        <v>1102.32007992244</v>
      </c>
      <c r="N45" s="18" t="n">
        <f aca="false">MAX(0,MIN(Assunzioni!$B$51+Assunzioni!$B$52*M25,N58-Assunzioni!$B$7))</f>
        <v>1288.332647643</v>
      </c>
      <c r="O45" s="18" t="n">
        <f aca="false">MAX(0,MIN(Assunzioni!$B$51+Assunzioni!$B$52*N25,O58-Assunzioni!$B$7))</f>
        <v>1496.03800101113</v>
      </c>
      <c r="P45" s="18" t="n">
        <f aca="false">MAX(0,MIN(Assunzioni!$B$51+Assunzioni!$B$52*O25,P58-Assunzioni!$B$7))</f>
        <v>1727.96595268904</v>
      </c>
      <c r="Q45" s="18" t="n">
        <f aca="false">MAX(0,MIN(Assunzioni!$B$51+Assunzioni!$B$52*P25,Q58-Assunzioni!$B$7))</f>
        <v>1986.94134209164</v>
      </c>
      <c r="R45" s="18" t="n">
        <f aca="false">MAX(0,MIN(Assunzioni!$B$51+Assunzioni!$B$52*Q25,R58-Assunzioni!$B$7))</f>
        <v>2276.11844140637</v>
      </c>
      <c r="S45" s="18" t="n">
        <f aca="false">MAX(0,MIN(Assunzioni!$B$51+Assunzioni!$B$52*R25,S58-Assunzioni!$B$7))</f>
        <v>2599.01937404318</v>
      </c>
      <c r="T45" s="18" t="n">
        <f aca="false">MAX(0,MIN(Assunzioni!$B$51+Assunzioni!$B$52*S25,T58-Assunzioni!$B$7))</f>
        <v>2959.57701344409</v>
      </c>
      <c r="U45" s="18" t="n">
        <f aca="false">MAX(0,MIN(Assunzioni!$B$51+Assunzioni!$B$52*T25,U58-Assunzioni!$B$7))</f>
        <v>3362.18288475194</v>
      </c>
      <c r="V45" s="18" t="n">
        <f aca="false">MAX(0,MIN(Assunzioni!$B$51+Assunzioni!$B$52*U25,V58-Assunzioni!$B$7))</f>
        <v>3811.74065277171</v>
      </c>
      <c r="W45" s="18" t="n">
        <f aca="false">MAX(0,MIN(Assunzioni!$B$51+Assunzioni!$B$52*V25,W58-Assunzioni!$B$7))</f>
        <v>4313.72584769795</v>
      </c>
      <c r="X45" s="18" t="n">
        <f aca="false">MAX(0,MIN(Assunzioni!$B$51+Assunzioni!$B$52*W25,X58-Assunzioni!$B$7))</f>
        <v>4874.25255605648</v>
      </c>
      <c r="Y45" s="18" t="n">
        <f aca="false">MAX(0,MIN(Assunzioni!$B$51+Assunzioni!$B$52*X25,Y58-Assunzioni!$B$7))</f>
        <v>5500.14788914379</v>
      </c>
      <c r="Z45" s="18" t="n">
        <f aca="false">MAX(0,MIN(Assunzioni!$B$51+Assunzioni!$B$52*Y25,Z58-Assunzioni!$B$7))</f>
        <v>6199.03513597574</v>
      </c>
    </row>
    <row r="46" customFormat="false" ht="15" hidden="false" customHeight="true" outlineLevel="0" collapsed="false">
      <c r="A46" s="5" t="s">
        <v>138</v>
      </c>
      <c r="C46" s="18" t="n">
        <f aca="false">IF(C$2&lt;Assunzioni!$B$20,C45,C45*Assunzioni!$B$55)</f>
        <v>200</v>
      </c>
      <c r="D46" s="18" t="n">
        <f aca="false">IF(D$2&lt;Assunzioni!$B$20,D45,D45*Assunzioni!$B$55)</f>
        <v>200</v>
      </c>
      <c r="E46" s="18" t="n">
        <f aca="false">IF(E$2&lt;Assunzioni!$B$20,E45,E45*Assunzioni!$B$55)</f>
        <v>200</v>
      </c>
      <c r="F46" s="18" t="n">
        <f aca="false">IF(F$2&lt;Assunzioni!$B$20,F45,F45*Assunzioni!$B$55)</f>
        <v>200</v>
      </c>
      <c r="G46" s="18" t="n">
        <f aca="false">IF(G$2&lt;Assunzioni!$B$20,G45,G45*Assunzioni!$B$55)</f>
        <v>171.6</v>
      </c>
      <c r="H46" s="18" t="n">
        <f aca="false">IF(H$2&lt;Assunzioni!$B$20,H45,H45*Assunzioni!$B$55)</f>
        <v>192.6648</v>
      </c>
      <c r="I46" s="18" t="n">
        <f aca="false">IF(I$2&lt;Assunzioni!$B$20,I45,I45*Assunzioni!$B$55)</f>
        <v>217.5505904</v>
      </c>
      <c r="J46" s="18" t="n">
        <f aca="false">IF(J$2&lt;Assunzioni!$B$20,J45,J45*Assunzioni!$B$55)</f>
        <v>246.5598169248</v>
      </c>
      <c r="K46" s="18" t="n">
        <f aca="false">IF(K$2&lt;Assunzioni!$B$20,K45,K45*Assunzioni!$B$55)</f>
        <v>315.105426830861</v>
      </c>
      <c r="L46" s="18" t="n">
        <f aca="false">IF(L$2&lt;Assunzioni!$B$20,L45,L45*Assunzioni!$B$55)</f>
        <v>532.479831260955</v>
      </c>
      <c r="M46" s="18" t="n">
        <f aca="false">IF(M$2&lt;Assunzioni!$B$20,M45,M45*Assunzioni!$B$55)</f>
        <v>661.392047953466</v>
      </c>
      <c r="N46" s="18" t="n">
        <f aca="false">IF(N$2&lt;Assunzioni!$B$20,N45,N45*Assunzioni!$B$55)</f>
        <v>772.999588585799</v>
      </c>
      <c r="O46" s="18" t="n">
        <f aca="false">IF(O$2&lt;Assunzioni!$B$20,O45,O45*Assunzioni!$B$55)</f>
        <v>897.622800606675</v>
      </c>
      <c r="P46" s="18" t="n">
        <f aca="false">IF(P$2&lt;Assunzioni!$B$20,P45,P45*Assunzioni!$B$55)</f>
        <v>1036.77957161343</v>
      </c>
      <c r="Q46" s="18" t="n">
        <f aca="false">IF(Q$2&lt;Assunzioni!$B$20,Q45,Q45*Assunzioni!$B$55)</f>
        <v>1192.16480525498</v>
      </c>
      <c r="R46" s="18" t="n">
        <f aca="false">IF(R$2&lt;Assunzioni!$B$20,R45,R45*Assunzioni!$B$55)</f>
        <v>1365.67106484382</v>
      </c>
      <c r="S46" s="18" t="n">
        <f aca="false">IF(S$2&lt;Assunzioni!$B$20,S45,S45*Assunzioni!$B$55)</f>
        <v>1559.41162442591</v>
      </c>
      <c r="T46" s="18" t="n">
        <f aca="false">IF(T$2&lt;Assunzioni!$B$20,T45,T45*Assunzioni!$B$55)</f>
        <v>1775.74620806645</v>
      </c>
      <c r="U46" s="18" t="n">
        <f aca="false">IF(U$2&lt;Assunzioni!$B$20,U45,U45*Assunzioni!$B$55)</f>
        <v>2017.30973085116</v>
      </c>
      <c r="V46" s="18" t="n">
        <f aca="false">IF(V$2&lt;Assunzioni!$B$20,V45,V45*Assunzioni!$B$55)</f>
        <v>2287.04439166303</v>
      </c>
      <c r="W46" s="18" t="n">
        <f aca="false">IF(W$2&lt;Assunzioni!$B$20,W45,W45*Assunzioni!$B$55)</f>
        <v>2588.23550861877</v>
      </c>
      <c r="X46" s="18" t="n">
        <f aca="false">IF(X$2&lt;Assunzioni!$B$20,X45,X45*Assunzioni!$B$55)</f>
        <v>2924.55153363389</v>
      </c>
      <c r="Y46" s="18" t="n">
        <f aca="false">IF(Y$2&lt;Assunzioni!$B$20,Y45,Y45*Assunzioni!$B$55)</f>
        <v>3300.08873348628</v>
      </c>
      <c r="Z46" s="18" t="n">
        <f aca="false">IF(Z$2&lt;Assunzioni!$B$20,Z45,Z45*Assunzioni!$B$55)</f>
        <v>3719.42108158544</v>
      </c>
    </row>
    <row r="47" customFormat="false" ht="15" hidden="false" customHeight="true" outlineLevel="0" collapsed="false">
      <c r="A47" s="5" t="s">
        <v>139</v>
      </c>
      <c r="C47" s="18" t="n">
        <f aca="false">IF(C$2&lt;Assunzioni!$B$20,0,C45*(1-Assunzioni!$B$55))</f>
        <v>0</v>
      </c>
      <c r="D47" s="18" t="n">
        <f aca="false">IF(D$2&lt;Assunzioni!$B$20,0,D45*(1-Assunzioni!$B$55))</f>
        <v>0</v>
      </c>
      <c r="E47" s="18" t="n">
        <f aca="false">IF(E$2&lt;Assunzioni!$B$20,0,E45*(1-Assunzioni!$B$55))</f>
        <v>0</v>
      </c>
      <c r="F47" s="18" t="n">
        <f aca="false">IF(F$2&lt;Assunzioni!$B$20,0,F45*(1-Assunzioni!$B$55))</f>
        <v>0</v>
      </c>
      <c r="G47" s="18" t="n">
        <f aca="false">IF(G$2&lt;Assunzioni!$B$20,0,G45*(1-Assunzioni!$B$55))</f>
        <v>114.4</v>
      </c>
      <c r="H47" s="18" t="n">
        <f aca="false">IF(H$2&lt;Assunzioni!$B$20,0,H45*(1-Assunzioni!$B$55))</f>
        <v>128.4432</v>
      </c>
      <c r="I47" s="18" t="n">
        <f aca="false">IF(I$2&lt;Assunzioni!$B$20,0,I45*(1-Assunzioni!$B$55))</f>
        <v>145.033726933333</v>
      </c>
      <c r="J47" s="18" t="n">
        <f aca="false">IF(J$2&lt;Assunzioni!$B$20,0,J45*(1-Assunzioni!$B$55))</f>
        <v>164.3732112832</v>
      </c>
      <c r="K47" s="18" t="n">
        <f aca="false">IF(K$2&lt;Assunzioni!$B$20,0,K45*(1-Assunzioni!$B$55))</f>
        <v>210.070284553907</v>
      </c>
      <c r="L47" s="18" t="n">
        <f aca="false">IF(L$2&lt;Assunzioni!$B$20,0,L45*(1-Assunzioni!$B$55))</f>
        <v>354.98655417397</v>
      </c>
      <c r="M47" s="18" t="n">
        <f aca="false">IF(M$2&lt;Assunzioni!$B$20,0,M45*(1-Assunzioni!$B$55))</f>
        <v>440.928031968977</v>
      </c>
      <c r="N47" s="18" t="n">
        <f aca="false">IF(N$2&lt;Assunzioni!$B$20,0,N45*(1-Assunzioni!$B$55))</f>
        <v>515.333059057199</v>
      </c>
      <c r="O47" s="18" t="n">
        <f aca="false">IF(O$2&lt;Assunzioni!$B$20,0,O45*(1-Assunzioni!$B$55))</f>
        <v>598.41520040445</v>
      </c>
      <c r="P47" s="18" t="n">
        <f aca="false">IF(P$2&lt;Assunzioni!$B$20,0,P45*(1-Assunzioni!$B$55))</f>
        <v>691.186381075617</v>
      </c>
      <c r="Q47" s="18" t="n">
        <f aca="false">IF(Q$2&lt;Assunzioni!$B$20,0,Q45*(1-Assunzioni!$B$55))</f>
        <v>794.776536836656</v>
      </c>
      <c r="R47" s="18" t="n">
        <f aca="false">IF(R$2&lt;Assunzioni!$B$20,0,R45*(1-Assunzioni!$B$55))</f>
        <v>910.447376562546</v>
      </c>
      <c r="S47" s="18" t="n">
        <f aca="false">IF(S$2&lt;Assunzioni!$B$20,0,S45*(1-Assunzioni!$B$55))</f>
        <v>1039.60774961727</v>
      </c>
      <c r="T47" s="18" t="n">
        <f aca="false">IF(T$2&lt;Assunzioni!$B$20,0,T45*(1-Assunzioni!$B$55))</f>
        <v>1183.83080537764</v>
      </c>
      <c r="U47" s="18" t="n">
        <f aca="false">IF(U$2&lt;Assunzioni!$B$20,0,U45*(1-Assunzioni!$B$55))</f>
        <v>1344.87315390078</v>
      </c>
      <c r="V47" s="18" t="n">
        <f aca="false">IF(V$2&lt;Assunzioni!$B$20,0,V45*(1-Assunzioni!$B$55))</f>
        <v>1524.69626110869</v>
      </c>
      <c r="W47" s="18" t="n">
        <f aca="false">IF(W$2&lt;Assunzioni!$B$20,0,W45*(1-Assunzioni!$B$55))</f>
        <v>1725.49033907918</v>
      </c>
      <c r="X47" s="18" t="n">
        <f aca="false">IF(X$2&lt;Assunzioni!$B$20,0,X45*(1-Assunzioni!$B$55))</f>
        <v>1949.70102242259</v>
      </c>
      <c r="Y47" s="18" t="n">
        <f aca="false">IF(Y$2&lt;Assunzioni!$B$20,0,Y45*(1-Assunzioni!$B$55))</f>
        <v>2200.05915565752</v>
      </c>
      <c r="Z47" s="18" t="n">
        <f aca="false">IF(Z$2&lt;Assunzioni!$B$20,0,Z45*(1-Assunzioni!$B$55))</f>
        <v>2479.6140543903</v>
      </c>
    </row>
    <row r="48" customFormat="false" ht="15" hidden="false" customHeight="true" outlineLevel="0" collapsed="false">
      <c r="A48" s="5" t="s">
        <v>140</v>
      </c>
      <c r="C48" s="18" t="n">
        <f aca="false">IF(C$2=3,Assunzioni!$B$53,0)+IF(C$2=6,Assunzioni!$B$54,0)</f>
        <v>0</v>
      </c>
      <c r="D48" s="18" t="n">
        <f aca="false">IF(D$2=3,Assunzioni!$B$53,0)+IF(D$2=6,Assunzioni!$B$54,0)</f>
        <v>0</v>
      </c>
      <c r="E48" s="18" t="n">
        <f aca="false">IF(E$2=3,Assunzioni!$B$53,0)+IF(E$2=6,Assunzioni!$B$54,0)</f>
        <v>0</v>
      </c>
      <c r="F48" s="18" t="n">
        <f aca="false">IF(F$2=3,Assunzioni!$B$53,0)+IF(F$2=6,Assunzioni!$B$54,0)</f>
        <v>300</v>
      </c>
      <c r="G48" s="18" t="n">
        <f aca="false">IF(G$2=3,Assunzioni!$B$53,0)+IF(G$2=6,Assunzioni!$B$54,0)</f>
        <v>0</v>
      </c>
      <c r="H48" s="18" t="n">
        <f aca="false">IF(H$2=3,Assunzioni!$B$53,0)+IF(H$2=6,Assunzioni!$B$54,0)</f>
        <v>0</v>
      </c>
      <c r="I48" s="18" t="n">
        <f aca="false">IF(I$2=3,Assunzioni!$B$53,0)+IF(I$2=6,Assunzioni!$B$54,0)</f>
        <v>300</v>
      </c>
      <c r="J48" s="18" t="n">
        <f aca="false">IF(J$2=3,Assunzioni!$B$53,0)+IF(J$2=6,Assunzioni!$B$54,0)</f>
        <v>0</v>
      </c>
      <c r="K48" s="18" t="n">
        <f aca="false">IF(K$2=3,Assunzioni!$B$53,0)+IF(K$2=6,Assunzioni!$B$54,0)</f>
        <v>0</v>
      </c>
      <c r="L48" s="18" t="n">
        <f aca="false">IF(L$2=3,Assunzioni!$B$53,0)+IF(L$2=6,Assunzioni!$B$54,0)</f>
        <v>0</v>
      </c>
      <c r="M48" s="18" t="n">
        <f aca="false">IF(M$2=3,Assunzioni!$B$53,0)+IF(M$2=6,Assunzioni!$B$54,0)</f>
        <v>0</v>
      </c>
      <c r="N48" s="18" t="n">
        <f aca="false">IF(N$2=3,Assunzioni!$B$53,0)+IF(N$2=6,Assunzioni!$B$54,0)</f>
        <v>0</v>
      </c>
      <c r="O48" s="18" t="n">
        <f aca="false">IF(O$2=3,Assunzioni!$B$53,0)+IF(O$2=6,Assunzioni!$B$54,0)</f>
        <v>0</v>
      </c>
      <c r="P48" s="18" t="n">
        <f aca="false">IF(P$2=3,Assunzioni!$B$53,0)+IF(P$2=6,Assunzioni!$B$54,0)</f>
        <v>0</v>
      </c>
      <c r="Q48" s="18" t="n">
        <f aca="false">IF(Q$2=3,Assunzioni!$B$53,0)+IF(Q$2=6,Assunzioni!$B$54,0)</f>
        <v>0</v>
      </c>
      <c r="R48" s="18" t="n">
        <f aca="false">IF(R$2=3,Assunzioni!$B$53,0)+IF(R$2=6,Assunzioni!$B$54,0)</f>
        <v>0</v>
      </c>
      <c r="S48" s="18" t="n">
        <f aca="false">IF(S$2=3,Assunzioni!$B$53,0)+IF(S$2=6,Assunzioni!$B$54,0)</f>
        <v>0</v>
      </c>
      <c r="T48" s="18" t="n">
        <f aca="false">IF(T$2=3,Assunzioni!$B$53,0)+IF(T$2=6,Assunzioni!$B$54,0)</f>
        <v>0</v>
      </c>
      <c r="U48" s="18" t="n">
        <f aca="false">IF(U$2=3,Assunzioni!$B$53,0)+IF(U$2=6,Assunzioni!$B$54,0)</f>
        <v>0</v>
      </c>
      <c r="V48" s="18" t="n">
        <f aca="false">IF(V$2=3,Assunzioni!$B$53,0)+IF(V$2=6,Assunzioni!$B$54,0)</f>
        <v>0</v>
      </c>
      <c r="W48" s="18" t="n">
        <f aca="false">IF(W$2=3,Assunzioni!$B$53,0)+IF(W$2=6,Assunzioni!$B$54,0)</f>
        <v>0</v>
      </c>
      <c r="X48" s="18" t="n">
        <f aca="false">IF(X$2=3,Assunzioni!$B$53,0)+IF(X$2=6,Assunzioni!$B$54,0)</f>
        <v>0</v>
      </c>
      <c r="Y48" s="18" t="n">
        <f aca="false">IF(Y$2=3,Assunzioni!$B$53,0)+IF(Y$2=6,Assunzioni!$B$54,0)</f>
        <v>0</v>
      </c>
      <c r="Z48" s="18" t="n">
        <f aca="false">IF(Z$2=3,Assunzioni!$B$53,0)+IF(Z$2=6,Assunzioni!$B$54,0)</f>
        <v>0</v>
      </c>
    </row>
    <row r="49" customFormat="false" ht="15" hidden="false" customHeight="true" outlineLevel="0" collapsed="false">
      <c r="A49" s="11" t="s">
        <v>141</v>
      </c>
      <c r="C49" s="17" t="n">
        <f aca="false">C42+C43+C44+C46+C47+C48</f>
        <v>350</v>
      </c>
      <c r="D49" s="17" t="n">
        <f aca="false">D42+D43+D44+D46+D47+D48</f>
        <v>340</v>
      </c>
      <c r="E49" s="17" t="n">
        <f aca="false">E42+E43+E44+E46+E47+E48</f>
        <v>340</v>
      </c>
      <c r="F49" s="17" t="n">
        <f aca="false">F42+F43+F44+F46+F47+F48</f>
        <v>640</v>
      </c>
      <c r="G49" s="17" t="n">
        <f aca="false">G42+G43+G44+G46+G47+G48</f>
        <v>426</v>
      </c>
      <c r="H49" s="17" t="n">
        <f aca="false">H42+H43+H44+H46+H47+H48</f>
        <v>461.108</v>
      </c>
      <c r="I49" s="17" t="n">
        <f aca="false">I42+I43+I44+I46+I47+I48</f>
        <v>802.584317333333</v>
      </c>
      <c r="J49" s="17" t="n">
        <f aca="false">J42+J43+J44+J46+J47+J48</f>
        <v>550.933028208</v>
      </c>
      <c r="K49" s="17" t="n">
        <f aca="false">K42+K43+K44+K46+K47+K48</f>
        <v>665.175711384769</v>
      </c>
      <c r="L49" s="17" t="n">
        <f aca="false">L42+L43+L44+L46+L47+L48</f>
        <v>1027.46638543492</v>
      </c>
      <c r="M49" s="17" t="n">
        <f aca="false">M42+M43+M44+M46+M47+M48</f>
        <v>1242.32007992244</v>
      </c>
      <c r="N49" s="17" t="n">
        <f aca="false">N42+N43+N44+N46+N47+N48</f>
        <v>1428.332647643</v>
      </c>
      <c r="O49" s="17" t="n">
        <f aca="false">O42+O43+O44+O46+O47+O48</f>
        <v>1636.03800101112</v>
      </c>
      <c r="P49" s="17" t="n">
        <f aca="false">P42+P43+P44+P46+P47+P48</f>
        <v>1867.96595268904</v>
      </c>
      <c r="Q49" s="17" t="n">
        <f aca="false">Q42+Q43+Q44+Q46+Q47+Q48</f>
        <v>2126.94134209164</v>
      </c>
      <c r="R49" s="17" t="n">
        <f aca="false">R42+R43+R44+R46+R47+R48</f>
        <v>2416.11844140637</v>
      </c>
      <c r="S49" s="17" t="n">
        <f aca="false">S42+S43+S44+S46+S47+S48</f>
        <v>2739.01937404318</v>
      </c>
      <c r="T49" s="17" t="n">
        <f aca="false">T42+T43+T44+T46+T47+T48</f>
        <v>3099.57701344409</v>
      </c>
      <c r="U49" s="17" t="n">
        <f aca="false">U42+U43+U44+U46+U47+U48</f>
        <v>3502.18288475194</v>
      </c>
      <c r="V49" s="17" t="n">
        <f aca="false">V42+V43+V44+V46+V47+V48</f>
        <v>3951.74065277171</v>
      </c>
      <c r="W49" s="17" t="n">
        <f aca="false">W42+W43+W44+W46+W47+W48</f>
        <v>4453.72584769795</v>
      </c>
      <c r="X49" s="17" t="n">
        <f aca="false">X42+X43+X44+X46+X47+X48</f>
        <v>5014.25255605648</v>
      </c>
      <c r="Y49" s="17" t="n">
        <f aca="false">Y42+Y43+Y44+Y46+Y47+Y48</f>
        <v>5640.14788914379</v>
      </c>
      <c r="Z49" s="17" t="n">
        <f aca="false">Z42+Z43+Z44+Z46+Z47+Z48</f>
        <v>6339.03513597574</v>
      </c>
    </row>
    <row r="51" customFormat="false" ht="15" hidden="false" customHeight="true" outlineLevel="0" collapsed="false">
      <c r="A51" s="4" t="s">
        <v>142</v>
      </c>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 hidden="false" customHeight="true" outlineLevel="0" collapsed="false">
      <c r="A52" s="5" t="s">
        <v>143</v>
      </c>
      <c r="C52" s="19" t="n">
        <f aca="false">C25*Assunzioni!$B$8</f>
        <v>0</v>
      </c>
      <c r="D52" s="19" t="n">
        <f aca="false">D25*Assunzioni!$B$8</f>
        <v>0</v>
      </c>
      <c r="E52" s="19" t="n">
        <f aca="false">E25*Assunzioni!$B$8</f>
        <v>0</v>
      </c>
      <c r="F52" s="19" t="n">
        <f aca="false">F25*Assunzioni!$B$8</f>
        <v>11.4666666666667</v>
      </c>
      <c r="G52" s="19" t="n">
        <f aca="false">G25*Assunzioni!$B$8</f>
        <v>16.1477333333333</v>
      </c>
      <c r="H52" s="19" t="n">
        <f aca="false">H25*Assunzioni!$B$8</f>
        <v>21.6779089777778</v>
      </c>
      <c r="I52" s="19" t="n">
        <f aca="false">I25*Assunzioni!$B$8</f>
        <v>28.1244037610667</v>
      </c>
      <c r="J52" s="19" t="n">
        <f aca="false">J25*Assunzioni!$B$8</f>
        <v>43.3567615179692</v>
      </c>
      <c r="K52" s="19" t="n">
        <f aca="false">K25*Assunzioni!$B$8</f>
        <v>91.6621847246566</v>
      </c>
      <c r="L52" s="19" t="n">
        <f aca="false">L25*Assunzioni!$B$8</f>
        <v>120.309343989659</v>
      </c>
      <c r="M52" s="19" t="n">
        <f aca="false">M25*Assunzioni!$B$8</f>
        <v>145.111019685733</v>
      </c>
      <c r="N52" s="19" t="n">
        <f aca="false">N25*Assunzioni!$B$8</f>
        <v>172.805066801483</v>
      </c>
      <c r="O52" s="19" t="n">
        <f aca="false">O25*Assunzioni!$B$8</f>
        <v>203.728793691872</v>
      </c>
      <c r="P52" s="19" t="n">
        <f aca="false">P25*Assunzioni!$B$8</f>
        <v>238.258845612219</v>
      </c>
      <c r="Q52" s="19" t="n">
        <f aca="false">Q25*Assunzioni!$B$8</f>
        <v>276.815792187515</v>
      </c>
      <c r="R52" s="19" t="n">
        <f aca="false">R25*Assunzioni!$B$8</f>
        <v>319.869249872424</v>
      </c>
      <c r="S52" s="19" t="n">
        <f aca="false">S25*Assunzioni!$B$8</f>
        <v>367.943601792545</v>
      </c>
      <c r="T52" s="19" t="n">
        <f aca="false">T25*Assunzioni!$B$8</f>
        <v>421.624384633592</v>
      </c>
      <c r="U52" s="19" t="n">
        <f aca="false">U25*Assunzioni!$B$8</f>
        <v>481.565420369562</v>
      </c>
      <c r="V52" s="19" t="n">
        <f aca="false">V25*Assunzioni!$B$8</f>
        <v>548.49677969306</v>
      </c>
      <c r="W52" s="19" t="n">
        <f aca="false">W25*Assunzioni!$B$8</f>
        <v>623.233674140865</v>
      </c>
      <c r="X52" s="19" t="n">
        <f aca="false">X25*Assunzioni!$B$8</f>
        <v>706.686385219172</v>
      </c>
      <c r="Y52" s="19" t="n">
        <f aca="false">Y25*Assunzioni!$B$8</f>
        <v>799.871351463432</v>
      </c>
      <c r="Z52" s="19" t="n">
        <f aca="false">Z25*Assunzioni!$B$8</f>
        <v>903.923548471097</v>
      </c>
    </row>
    <row r="54" customFormat="false" ht="15" hidden="false" customHeight="true" outlineLevel="0" collapsed="false">
      <c r="A54" s="4" t="s">
        <v>144</v>
      </c>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 hidden="false" customHeight="true" outlineLevel="0" collapsed="false">
      <c r="A55" s="11" t="s">
        <v>145</v>
      </c>
      <c r="C55" s="17" t="n">
        <f aca="false">C25</f>
        <v>0</v>
      </c>
      <c r="D55" s="17" t="n">
        <f aca="false">D25</f>
        <v>0</v>
      </c>
      <c r="E55" s="17" t="n">
        <f aca="false">E25</f>
        <v>0</v>
      </c>
      <c r="F55" s="17" t="n">
        <f aca="false">F25</f>
        <v>286.666666666667</v>
      </c>
      <c r="G55" s="17" t="n">
        <f aca="false">G25</f>
        <v>403.693333333333</v>
      </c>
      <c r="H55" s="17" t="n">
        <f aca="false">H25</f>
        <v>541.947724444445</v>
      </c>
      <c r="I55" s="17" t="n">
        <f aca="false">I25</f>
        <v>703.110094026667</v>
      </c>
      <c r="J55" s="17" t="n">
        <f aca="false">J25</f>
        <v>1083.91903794923</v>
      </c>
      <c r="K55" s="17" t="n">
        <f aca="false">K25</f>
        <v>2291.55461811642</v>
      </c>
      <c r="L55" s="17" t="n">
        <f aca="false">L25</f>
        <v>3007.73359974148</v>
      </c>
      <c r="M55" s="17" t="n">
        <f aca="false">M25</f>
        <v>3627.77549214333</v>
      </c>
      <c r="N55" s="17" t="n">
        <f aca="false">N25</f>
        <v>4320.12667003708</v>
      </c>
      <c r="O55" s="17" t="n">
        <f aca="false">O25</f>
        <v>5093.21984229681</v>
      </c>
      <c r="P55" s="17" t="n">
        <f aca="false">P25</f>
        <v>5956.47114030546</v>
      </c>
      <c r="Q55" s="17" t="n">
        <f aca="false">Q25</f>
        <v>6920.39480468789</v>
      </c>
      <c r="R55" s="17" t="n">
        <f aca="false">R25</f>
        <v>7996.73124681059</v>
      </c>
      <c r="S55" s="17" t="n">
        <f aca="false">S25</f>
        <v>9198.59004481364</v>
      </c>
      <c r="T55" s="17" t="n">
        <f aca="false">T25</f>
        <v>10540.6096158398</v>
      </c>
      <c r="U55" s="17" t="n">
        <f aca="false">U25</f>
        <v>12039.135509239</v>
      </c>
      <c r="V55" s="17" t="n">
        <f aca="false">V25</f>
        <v>13712.4194923265</v>
      </c>
      <c r="W55" s="17" t="n">
        <f aca="false">W25</f>
        <v>15580.8418535216</v>
      </c>
      <c r="X55" s="17" t="n">
        <f aca="false">X25</f>
        <v>17667.1596304793</v>
      </c>
      <c r="Y55" s="17" t="n">
        <f aca="false">Y25</f>
        <v>19996.7837865858</v>
      </c>
      <c r="Z55" s="17" t="n">
        <f aca="false">Z25</f>
        <v>22598.0887117774</v>
      </c>
    </row>
    <row r="56" customFormat="false" ht="15" hidden="false" customHeight="true" outlineLevel="0" collapsed="false">
      <c r="A56" s="11" t="s">
        <v>146</v>
      </c>
      <c r="C56" s="17" t="n">
        <f aca="false">C34+C39+C49+C52</f>
        <v>460</v>
      </c>
      <c r="D56" s="17" t="n">
        <f aca="false">D34+D39+D49+D52</f>
        <v>435</v>
      </c>
      <c r="E56" s="17" t="n">
        <f aca="false">E34+E39+E49+E52</f>
        <v>435</v>
      </c>
      <c r="F56" s="17" t="n">
        <f aca="false">F34+F39+F49+F52</f>
        <v>755.066666666667</v>
      </c>
      <c r="G56" s="17" t="n">
        <f aca="false">G34+G39+G49+G52</f>
        <v>548.005733333333</v>
      </c>
      <c r="H56" s="17" t="n">
        <f aca="false">H34+H39+H49+H52</f>
        <v>591.007232977778</v>
      </c>
      <c r="I56" s="17" t="n">
        <f aca="false">I34+I39+I49+I52</f>
        <v>941.4177980464</v>
      </c>
      <c r="J56" s="17" t="n">
        <f aca="false">J34+J39+J49+J52</f>
        <v>711.440666315459</v>
      </c>
      <c r="K56" s="17" t="n">
        <f aca="false">K34+K39+K49+K52</f>
        <v>878.204580971285</v>
      </c>
      <c r="L56" s="17" t="n">
        <f aca="false">L34+L39+L49+L52</f>
        <v>1408.02475965944</v>
      </c>
      <c r="M56" s="17" t="n">
        <f aca="false">M34+M39+M49+M52</f>
        <v>1536.55080221068</v>
      </c>
      <c r="N56" s="17" t="n">
        <f aca="false">N34+N39+N49+N52</f>
        <v>1757.98374722614</v>
      </c>
      <c r="O56" s="17" t="n">
        <f aca="false">O34+O39+O49+O52</f>
        <v>2005.29460228931</v>
      </c>
      <c r="P56" s="17" t="n">
        <f aca="false">P34+P39+P49+P52</f>
        <v>2281.50124926994</v>
      </c>
      <c r="Q56" s="17" t="n">
        <f aca="false">Q34+Q39+Q49+Q52</f>
        <v>2589.97351542146</v>
      </c>
      <c r="R56" s="17" t="n">
        <f aca="false">R34+R39+R49+R52</f>
        <v>2954.47421725156</v>
      </c>
      <c r="S56" s="17" t="n">
        <f aca="false">S34+S39+S49+S52</f>
        <v>3339.20499092909</v>
      </c>
      <c r="T56" s="17" t="n">
        <f aca="false">T34+T39+T49+T52</f>
        <v>3768.8574674329</v>
      </c>
      <c r="U56" s="17" t="n">
        <f aca="false">U34+U39+U49+U52</f>
        <v>7532.00374907991</v>
      </c>
      <c r="V56" s="17" t="n">
        <f aca="false">V34+V39+V49+V52</f>
        <v>5567.82688342593</v>
      </c>
      <c r="W56" s="17" t="n">
        <f aca="false">W34+W39+W49+W52</f>
        <v>6166.19211169938</v>
      </c>
      <c r="X56" s="17" t="n">
        <f aca="false">X34+X39+X49+X52</f>
        <v>6834.39309289408</v>
      </c>
      <c r="Y56" s="17" t="n">
        <f aca="false">Y34+Y39+Y49+Y52</f>
        <v>7580.57407251571</v>
      </c>
      <c r="Z56" s="17" t="n">
        <f aca="false">Z34+Z39+Z49+Z52</f>
        <v>8413.82907798081</v>
      </c>
    </row>
    <row r="57" customFormat="false" ht="15" hidden="false" customHeight="true" outlineLevel="0" collapsed="false">
      <c r="A57" s="11" t="s">
        <v>147</v>
      </c>
      <c r="C57" s="17" t="n">
        <f aca="false">C55-C56</f>
        <v>-460</v>
      </c>
      <c r="D57" s="17" t="n">
        <f aca="false">D55-D56</f>
        <v>-435</v>
      </c>
      <c r="E57" s="17" t="n">
        <f aca="false">E55-E56</f>
        <v>-435</v>
      </c>
      <c r="F57" s="17" t="n">
        <f aca="false">F55-F56</f>
        <v>-468.4</v>
      </c>
      <c r="G57" s="17" t="n">
        <f aca="false">G55-G56</f>
        <v>-144.3124</v>
      </c>
      <c r="H57" s="17" t="n">
        <f aca="false">H55-H56</f>
        <v>-49.0595085333332</v>
      </c>
      <c r="I57" s="17" t="n">
        <f aca="false">I55-I56</f>
        <v>-238.307704019734</v>
      </c>
      <c r="J57" s="17" t="n">
        <f aca="false">J55-J56</f>
        <v>372.47837163377</v>
      </c>
      <c r="K57" s="17" t="n">
        <f aca="false">K55-K56</f>
        <v>1413.35003714513</v>
      </c>
      <c r="L57" s="17" t="n">
        <f aca="false">L55-L56</f>
        <v>1599.70884008203</v>
      </c>
      <c r="M57" s="17" t="n">
        <f aca="false">M55-M56</f>
        <v>2091.22468993265</v>
      </c>
      <c r="N57" s="17" t="n">
        <f aca="false">N55-N56</f>
        <v>2562.14292281094</v>
      </c>
      <c r="O57" s="17" t="n">
        <f aca="false">O55-O56</f>
        <v>3087.9252400075</v>
      </c>
      <c r="P57" s="17" t="n">
        <f aca="false">P55-P56</f>
        <v>3674.96989103552</v>
      </c>
      <c r="Q57" s="17" t="n">
        <f aca="false">Q55-Q56</f>
        <v>4330.42128926643</v>
      </c>
      <c r="R57" s="17" t="n">
        <f aca="false">R55-R56</f>
        <v>5042.25702955903</v>
      </c>
      <c r="S57" s="17" t="n">
        <f aca="false">S55-S56</f>
        <v>5859.38505388454</v>
      </c>
      <c r="T57" s="17" t="n">
        <f aca="false">T55-T56</f>
        <v>6771.75214840691</v>
      </c>
      <c r="U57" s="17" t="n">
        <f aca="false">U55-U56</f>
        <v>4507.13176015913</v>
      </c>
      <c r="V57" s="17" t="n">
        <f aca="false">V55-V56</f>
        <v>8144.59260890057</v>
      </c>
      <c r="W57" s="17" t="n">
        <f aca="false">W55-W56</f>
        <v>9414.64974182223</v>
      </c>
      <c r="X57" s="17" t="n">
        <f aca="false">X55-X56</f>
        <v>10832.7665375852</v>
      </c>
      <c r="Y57" s="17" t="n">
        <f aca="false">Y55-Y56</f>
        <v>12416.2097140701</v>
      </c>
      <c r="Z57" s="17" t="n">
        <f aca="false">Z55-Z56</f>
        <v>14184.2596337966</v>
      </c>
    </row>
    <row r="58" customFormat="false" ht="15" hidden="false" customHeight="true" outlineLevel="0" collapsed="false">
      <c r="A58" s="5" t="s">
        <v>148</v>
      </c>
      <c r="C58" s="18" t="n">
        <f aca="false">Assunzioni!$B$5</f>
        <v>5000</v>
      </c>
      <c r="D58" s="18" t="n">
        <f aca="false">C59</f>
        <v>4540</v>
      </c>
      <c r="E58" s="18" t="n">
        <f aca="false">D59</f>
        <v>4105</v>
      </c>
      <c r="F58" s="18" t="n">
        <f aca="false">E59</f>
        <v>3670</v>
      </c>
      <c r="G58" s="18" t="n">
        <f aca="false">F59</f>
        <v>3201.6</v>
      </c>
      <c r="H58" s="18" t="n">
        <f aca="false">G59</f>
        <v>3057.2876</v>
      </c>
      <c r="I58" s="18" t="n">
        <f aca="false">H59</f>
        <v>3008.22809146667</v>
      </c>
      <c r="J58" s="18" t="n">
        <f aca="false">I59</f>
        <v>2769.92038744693</v>
      </c>
      <c r="K58" s="18" t="n">
        <f aca="false">J59</f>
        <v>3142.3987590807</v>
      </c>
      <c r="L58" s="18" t="n">
        <f aca="false">K59</f>
        <v>4555.74879622583</v>
      </c>
      <c r="M58" s="18" t="n">
        <f aca="false">L59</f>
        <v>6155.45763630787</v>
      </c>
      <c r="N58" s="18" t="n">
        <f aca="false">M59</f>
        <v>8246.68232624051</v>
      </c>
      <c r="O58" s="18" t="n">
        <f aca="false">N59</f>
        <v>10808.8252490515</v>
      </c>
      <c r="P58" s="18" t="n">
        <f aca="false">O59</f>
        <v>13896.750489059</v>
      </c>
      <c r="Q58" s="18" t="n">
        <f aca="false">P59</f>
        <v>17571.7203800945</v>
      </c>
      <c r="R58" s="18" t="n">
        <f aca="false">Q59</f>
        <v>21902.1416693609</v>
      </c>
      <c r="S58" s="18" t="n">
        <f aca="false">R59</f>
        <v>26944.3986989199</v>
      </c>
      <c r="T58" s="18" t="n">
        <f aca="false">S59</f>
        <v>32803.7837528045</v>
      </c>
      <c r="U58" s="18" t="n">
        <f aca="false">T59</f>
        <v>39575.5359012114</v>
      </c>
      <c r="V58" s="18" t="n">
        <f aca="false">U59</f>
        <v>44082.6676613705</v>
      </c>
      <c r="W58" s="18" t="n">
        <f aca="false">V59</f>
        <v>52227.2602702711</v>
      </c>
      <c r="X58" s="18" t="n">
        <f aca="false">W59</f>
        <v>61641.9100120933</v>
      </c>
      <c r="Y58" s="18" t="n">
        <f aca="false">X59</f>
        <v>72474.6765496785</v>
      </c>
      <c r="Z58" s="18" t="n">
        <f aca="false">Y59</f>
        <v>84890.8862637486</v>
      </c>
    </row>
    <row r="59" customFormat="false" ht="15" hidden="false" customHeight="true" outlineLevel="0" collapsed="false">
      <c r="A59" s="11" t="s">
        <v>149</v>
      </c>
      <c r="C59" s="17" t="n">
        <f aca="false">C58+C57</f>
        <v>4540</v>
      </c>
      <c r="D59" s="17" t="n">
        <f aca="false">D58+D57</f>
        <v>4105</v>
      </c>
      <c r="E59" s="17" t="n">
        <f aca="false">E58+E57</f>
        <v>3670</v>
      </c>
      <c r="F59" s="17" t="n">
        <f aca="false">F58+F57</f>
        <v>3201.6</v>
      </c>
      <c r="G59" s="17" t="n">
        <f aca="false">G58+G57</f>
        <v>3057.2876</v>
      </c>
      <c r="H59" s="17" t="n">
        <f aca="false">H58+H57</f>
        <v>3008.22809146667</v>
      </c>
      <c r="I59" s="17" t="n">
        <f aca="false">I58+I57</f>
        <v>2769.92038744693</v>
      </c>
      <c r="J59" s="17" t="n">
        <f aca="false">J58+J57</f>
        <v>3142.3987590807</v>
      </c>
      <c r="K59" s="17" t="n">
        <f aca="false">K58+K57</f>
        <v>4555.74879622583</v>
      </c>
      <c r="L59" s="17" t="n">
        <f aca="false">L58+L57</f>
        <v>6155.45763630787</v>
      </c>
      <c r="M59" s="17" t="n">
        <f aca="false">M58+M57</f>
        <v>8246.68232624051</v>
      </c>
      <c r="N59" s="17" t="n">
        <f aca="false">N58+N57</f>
        <v>10808.8252490515</v>
      </c>
      <c r="O59" s="17" t="n">
        <f aca="false">O58+O57</f>
        <v>13896.750489059</v>
      </c>
      <c r="P59" s="17" t="n">
        <f aca="false">P58+P57</f>
        <v>17571.7203800945</v>
      </c>
      <c r="Q59" s="17" t="n">
        <f aca="false">Q58+Q57</f>
        <v>21902.1416693609</v>
      </c>
      <c r="R59" s="17" t="n">
        <f aca="false">R58+R57</f>
        <v>26944.3986989199</v>
      </c>
      <c r="S59" s="17" t="n">
        <f aca="false">S58+S57</f>
        <v>32803.7837528045</v>
      </c>
      <c r="T59" s="17" t="n">
        <f aca="false">T58+T57</f>
        <v>39575.5359012114</v>
      </c>
      <c r="U59" s="17" t="n">
        <f aca="false">U58+U57</f>
        <v>44082.6676613705</v>
      </c>
      <c r="V59" s="17" t="n">
        <f aca="false">V58+V57</f>
        <v>52227.2602702711</v>
      </c>
      <c r="W59" s="17" t="n">
        <f aca="false">W58+W57</f>
        <v>61641.9100120933</v>
      </c>
      <c r="X59" s="17" t="n">
        <f aca="false">X58+X57</f>
        <v>72474.6765496785</v>
      </c>
      <c r="Y59" s="17" t="n">
        <f aca="false">Y58+Y57</f>
        <v>84890.8862637486</v>
      </c>
      <c r="Z59" s="17" t="n">
        <f aca="false">Z58+Z57</f>
        <v>99075.1458975453</v>
      </c>
    </row>
    <row r="60" customFormat="false" ht="15" hidden="false" customHeight="true" outlineLevel="0" collapsed="false">
      <c r="A60" s="5" t="s">
        <v>150</v>
      </c>
      <c r="C60" s="13" t="n">
        <f aca="false">IF(C57&gt;0,1,0)</f>
        <v>0</v>
      </c>
      <c r="D60" s="13" t="n">
        <f aca="false">IF(D57&gt;0,1,0)</f>
        <v>0</v>
      </c>
      <c r="E60" s="13" t="n">
        <f aca="false">IF(E57&gt;0,1,0)</f>
        <v>0</v>
      </c>
      <c r="F60" s="13" t="n">
        <f aca="false">IF(F57&gt;0,1,0)</f>
        <v>0</v>
      </c>
      <c r="G60" s="13" t="n">
        <f aca="false">IF(G57&gt;0,1,0)</f>
        <v>0</v>
      </c>
      <c r="H60" s="13" t="n">
        <f aca="false">IF(H57&gt;0,1,0)</f>
        <v>0</v>
      </c>
      <c r="I60" s="13" t="n">
        <f aca="false">IF(I57&gt;0,1,0)</f>
        <v>0</v>
      </c>
      <c r="J60" s="13" t="n">
        <f aca="false">IF(J57&gt;0,1,0)</f>
        <v>1</v>
      </c>
      <c r="K60" s="13" t="n">
        <f aca="false">IF(K57&gt;0,1,0)</f>
        <v>1</v>
      </c>
      <c r="L60" s="13" t="n">
        <f aca="false">IF(L57&gt;0,1,0)</f>
        <v>1</v>
      </c>
      <c r="M60" s="13" t="n">
        <f aca="false">IF(M57&gt;0,1,0)</f>
        <v>1</v>
      </c>
      <c r="N60" s="13" t="n">
        <f aca="false">IF(N57&gt;0,1,0)</f>
        <v>1</v>
      </c>
      <c r="O60" s="13" t="n">
        <f aca="false">IF(O57&gt;0,1,0)</f>
        <v>1</v>
      </c>
      <c r="P60" s="13" t="n">
        <f aca="false">IF(P57&gt;0,1,0)</f>
        <v>1</v>
      </c>
      <c r="Q60" s="13" t="n">
        <f aca="false">IF(Q57&gt;0,1,0)</f>
        <v>1</v>
      </c>
      <c r="R60" s="13" t="n">
        <f aca="false">IF(R57&gt;0,1,0)</f>
        <v>1</v>
      </c>
      <c r="S60" s="13" t="n">
        <f aca="false">IF(S57&gt;0,1,0)</f>
        <v>1</v>
      </c>
      <c r="T60" s="13" t="n">
        <f aca="false">IF(T57&gt;0,1,0)</f>
        <v>1</v>
      </c>
      <c r="U60" s="13" t="n">
        <f aca="false">IF(U57&gt;0,1,0)</f>
        <v>1</v>
      </c>
      <c r="V60" s="13" t="n">
        <f aca="false">IF(V57&gt;0,1,0)</f>
        <v>1</v>
      </c>
      <c r="W60" s="13" t="n">
        <f aca="false">IF(W57&gt;0,1,0)</f>
        <v>1</v>
      </c>
      <c r="X60" s="13" t="n">
        <f aca="false">IF(X57&gt;0,1,0)</f>
        <v>1</v>
      </c>
      <c r="Y60" s="13" t="n">
        <f aca="false">IF(Y57&gt;0,1,0)</f>
        <v>1</v>
      </c>
      <c r="Z60" s="13" t="n">
        <f aca="false">IF(Z57&gt;0,1,0)</f>
        <v>1</v>
      </c>
    </row>
  </sheetData>
  <mergeCells count="8">
    <mergeCell ref="A1:Z1"/>
    <mergeCell ref="A5:Z5"/>
    <mergeCell ref="A21:Z21"/>
    <mergeCell ref="A27:Z27"/>
    <mergeCell ref="A36:Z36"/>
    <mergeCell ref="A41:Z41"/>
    <mergeCell ref="A51:Z51"/>
    <mergeCell ref="A54:Z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3"/>
    <col collapsed="false" customWidth="true" hidden="false" outlineLevel="0" max="4" min="4" style="1" width="48"/>
    <col collapsed="false" customWidth="true" hidden="false" outlineLevel="0" max="5" min="5" style="1" width="18"/>
  </cols>
  <sheetData>
    <row r="1" customFormat="false" ht="21.75" hidden="false" customHeight="true" outlineLevel="0" collapsed="false">
      <c r="A1" s="2" t="s">
        <v>151</v>
      </c>
      <c r="B1" s="2"/>
      <c r="C1" s="2"/>
      <c r="D1" s="2"/>
      <c r="E1" s="2"/>
    </row>
    <row r="3" customFormat="false" ht="15" hidden="false" customHeight="true" outlineLevel="0" collapsed="false">
      <c r="A3" s="4" t="s">
        <v>152</v>
      </c>
      <c r="B3" s="4"/>
      <c r="C3" s="4"/>
      <c r="D3" s="4"/>
      <c r="E3" s="4"/>
    </row>
    <row r="4" customFormat="false" ht="15" hidden="false" customHeight="true" outlineLevel="0" collapsed="false">
      <c r="A4" s="5" t="s">
        <v>153</v>
      </c>
      <c r="B4" s="20" t="str">
        <f aca="false">IFERROR("M"&amp;(MATCH(1,'Piano Mensile'!C60:Z60,0)-1),"Non raggiunto entro 24 mesi")</f>
        <v>M7</v>
      </c>
    </row>
    <row r="5" customFormat="false" ht="15" hidden="false" customHeight="true" outlineLevel="0" collapsed="false">
      <c r="A5" s="5" t="s">
        <v>154</v>
      </c>
      <c r="B5" s="21" t="n">
        <f aca="false">IFERROR(INDEX('Piano Mensile'!C55:Z55,MATCH(1,'Piano Mensile'!C60:Z60,0)),0)</f>
        <v>1083.91903794923</v>
      </c>
    </row>
    <row r="6" customFormat="false" ht="15" hidden="false" customHeight="true" outlineLevel="0" collapsed="false">
      <c r="A6" s="5" t="s">
        <v>155</v>
      </c>
      <c r="B6" s="22" t="n">
        <f aca="false">IFERROR(INDEX('Piano Mensile'!C14:Z14,MATCH(1,'Piano Mensile'!C60:Z60,0)),0)</f>
        <v>553.771914737253</v>
      </c>
    </row>
    <row r="8" customFormat="false" ht="15" hidden="false" customHeight="true" outlineLevel="0" collapsed="false">
      <c r="A8" s="4" t="s">
        <v>156</v>
      </c>
      <c r="B8" s="4"/>
      <c r="C8" s="4"/>
      <c r="D8" s="4"/>
      <c r="E8" s="4"/>
    </row>
    <row r="9" customFormat="false" ht="15" hidden="false" customHeight="true" outlineLevel="0" collapsed="false">
      <c r="A9" s="5" t="s">
        <v>157</v>
      </c>
      <c r="B9" s="21" t="n">
        <f aca="false">MIN('Piano Mensile'!C59:Z59)</f>
        <v>2769.92038744693</v>
      </c>
    </row>
    <row r="10" customFormat="false" ht="15" hidden="false" customHeight="true" outlineLevel="0" collapsed="false">
      <c r="A10" s="5" t="s">
        <v>158</v>
      </c>
      <c r="B10" s="20" t="str">
        <f aca="false">"M"&amp;INDEX('Piano Mensile'!C2:Z2,MATCH(MIN('Piano Mensile'!C59:Z59),'Piano Mensile'!C59:Z59,0))</f>
        <v>M6</v>
      </c>
    </row>
    <row r="11" customFormat="false" ht="15" hidden="false" customHeight="true" outlineLevel="0" collapsed="false">
      <c r="A11" s="5" t="s">
        <v>159</v>
      </c>
      <c r="B11" s="21" t="n">
        <f aca="false">'Piano Mensile'!N59</f>
        <v>10808.8252490515</v>
      </c>
    </row>
    <row r="12" customFormat="false" ht="15" hidden="false" customHeight="true" outlineLevel="0" collapsed="false">
      <c r="A12" s="5" t="s">
        <v>160</v>
      </c>
      <c r="B12" s="21" t="n">
        <f aca="false">'Piano Mensile'!Z59</f>
        <v>99075.1458975453</v>
      </c>
    </row>
    <row r="14" customFormat="false" ht="15" hidden="false" customHeight="true" outlineLevel="0" collapsed="false">
      <c r="A14" s="4" t="s">
        <v>161</v>
      </c>
      <c r="B14" s="4"/>
      <c r="C14" s="4"/>
      <c r="D14" s="4"/>
      <c r="E14" s="4"/>
    </row>
    <row r="15" customFormat="false" ht="15" hidden="false" customHeight="true" outlineLevel="0" collapsed="false">
      <c r="A15" s="5" t="s">
        <v>162</v>
      </c>
      <c r="B15" s="21" t="n">
        <f aca="false">SUM('Piano Mensile'!C55:N55)</f>
        <v>16266.5272364586</v>
      </c>
    </row>
    <row r="16" customFormat="false" ht="15" hidden="false" customHeight="true" outlineLevel="0" collapsed="false">
      <c r="A16" s="5" t="s">
        <v>163</v>
      </c>
      <c r="B16" s="21" t="n">
        <f aca="false">SUM('Piano Mensile'!C55:Z55)</f>
        <v>163566.972915143</v>
      </c>
    </row>
    <row r="17" customFormat="false" ht="15" hidden="false" customHeight="true" outlineLevel="0" collapsed="false">
      <c r="A17" s="5" t="s">
        <v>164</v>
      </c>
      <c r="B17" s="21" t="n">
        <f aca="false">SUM('Piano Mensile'!C57:N57)</f>
        <v>5808.82524905145</v>
      </c>
    </row>
    <row r="18" customFormat="false" ht="15" hidden="false" customHeight="true" outlineLevel="0" collapsed="false">
      <c r="A18" s="5" t="s">
        <v>165</v>
      </c>
      <c r="B18" s="21" t="n">
        <f aca="false">SUM('Piano Mensile'!C57:Z57)</f>
        <v>94075.1458975452</v>
      </c>
    </row>
    <row r="19" customFormat="false" ht="15" hidden="false" customHeight="true" outlineLevel="0" collapsed="false">
      <c r="A19" s="5" t="s">
        <v>166</v>
      </c>
      <c r="B19" s="21" t="n">
        <f aca="false">'Piano Mensile'!Z57</f>
        <v>14184.2596337966</v>
      </c>
    </row>
    <row r="20" customFormat="false" ht="15" hidden="false" customHeight="true" outlineLevel="0" collapsed="false">
      <c r="A20" s="5" t="s">
        <v>167</v>
      </c>
      <c r="B20" s="23" t="n">
        <f aca="false">IFERROR('Piano Mensile'!Z57/'Piano Mensile'!Z55,0)</f>
        <v>0.627675190353785</v>
      </c>
    </row>
    <row r="22" customFormat="false" ht="15" hidden="false" customHeight="true" outlineLevel="0" collapsed="false">
      <c r="A22" s="4" t="s">
        <v>168</v>
      </c>
      <c r="B22" s="4"/>
      <c r="C22" s="4"/>
      <c r="D22" s="4"/>
      <c r="E22" s="4"/>
    </row>
    <row r="23" customFormat="false" ht="15" hidden="false" customHeight="true" outlineLevel="0" collapsed="false">
      <c r="A23" s="5" t="s">
        <v>169</v>
      </c>
      <c r="B23" s="22" t="n">
        <f aca="false">'Piano Mensile'!N14</f>
        <v>1171.15081954154</v>
      </c>
    </row>
    <row r="24" customFormat="false" ht="15" hidden="false" customHeight="true" outlineLevel="0" collapsed="false">
      <c r="A24" s="5" t="s">
        <v>170</v>
      </c>
      <c r="B24" s="22" t="n">
        <f aca="false">'Piano Mensile'!Z14</f>
        <v>6438.4265050161</v>
      </c>
    </row>
    <row r="25" customFormat="false" ht="15" hidden="false" customHeight="true" outlineLevel="0" collapsed="false">
      <c r="A25" s="5" t="s">
        <v>171</v>
      </c>
      <c r="B25" s="22" t="n">
        <f aca="false">'Piano Mensile'!Z17</f>
        <v>5150.74120401288</v>
      </c>
    </row>
    <row r="27" customFormat="false" ht="15" hidden="false" customHeight="true" outlineLevel="0" collapsed="false">
      <c r="A27" s="4" t="s">
        <v>172</v>
      </c>
      <c r="B27" s="4"/>
      <c r="C27" s="4"/>
      <c r="D27" s="4"/>
      <c r="E27" s="4"/>
    </row>
    <row r="28" customFormat="false" ht="15" hidden="false" customHeight="true" outlineLevel="0" collapsed="false">
      <c r="A28" s="5" t="s">
        <v>173</v>
      </c>
      <c r="B28" s="21" t="n">
        <f aca="false">SUM('Piano Mensile'!C34:Z34)</f>
        <v>3488.48283998206</v>
      </c>
    </row>
    <row r="29" customFormat="false" ht="15" hidden="false" customHeight="true" outlineLevel="0" collapsed="false">
      <c r="A29" s="5" t="s">
        <v>174</v>
      </c>
      <c r="B29" s="21" t="n">
        <f aca="false">SUM('Piano Mensile'!C49:Z49)</f>
        <v>51060.6652610095</v>
      </c>
    </row>
    <row r="30" customFormat="false" ht="15" hidden="false" customHeight="true" outlineLevel="0" collapsed="false">
      <c r="A30" s="5" t="s">
        <v>175</v>
      </c>
      <c r="B30" s="21" t="n">
        <f aca="false">SUM('Piano Mensile'!C52:Z52)</f>
        <v>6542.6789166057</v>
      </c>
    </row>
    <row r="32" customFormat="false" ht="45" hidden="false" customHeight="true" outlineLevel="0" collapsed="false">
      <c r="A32" s="24" t="s">
        <v>176</v>
      </c>
      <c r="B32" s="24"/>
      <c r="C32" s="24"/>
      <c r="D32" s="24"/>
      <c r="E32" s="24"/>
    </row>
  </sheetData>
  <mergeCells count="7">
    <mergeCell ref="A1:E1"/>
    <mergeCell ref="A3:E3"/>
    <mergeCell ref="A8:E8"/>
    <mergeCell ref="A14:E14"/>
    <mergeCell ref="A22:E22"/>
    <mergeCell ref="A27:E27"/>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21.75" hidden="false" customHeight="true" outlineLevel="0" collapsed="false">
      <c r="A1" s="25" t="s">
        <v>177</v>
      </c>
    </row>
    <row r="2" customFormat="false" ht="15" hidden="false" customHeight="true" outlineLevel="0" collapsed="false">
      <c r="A2" s="26"/>
    </row>
    <row r="3" customFormat="false" ht="15" hidden="false" customHeight="true" outlineLevel="0" collapsed="false">
      <c r="A3" s="27" t="s">
        <v>178</v>
      </c>
    </row>
    <row r="4" customFormat="false" ht="15" hidden="false" customHeight="true" outlineLevel="0" collapsed="false">
      <c r="A4" s="26" t="s">
        <v>179</v>
      </c>
    </row>
    <row r="5" customFormat="false" ht="15" hidden="false" customHeight="true" outlineLevel="0" collapsed="false">
      <c r="A5" s="26" t="s">
        <v>180</v>
      </c>
    </row>
    <row r="6" customFormat="false" ht="15" hidden="false" customHeight="true" outlineLevel="0" collapsed="false">
      <c r="A6" s="26"/>
    </row>
    <row r="7" customFormat="false" ht="15" hidden="false" customHeight="true" outlineLevel="0" collapsed="false">
      <c r="A7" s="27" t="s">
        <v>181</v>
      </c>
    </row>
    <row r="8" customFormat="false" ht="15" hidden="false" customHeight="true" outlineLevel="0" collapsed="false">
      <c r="A8" s="26" t="s">
        <v>182</v>
      </c>
    </row>
    <row r="9" customFormat="false" ht="15" hidden="false" customHeight="true" outlineLevel="0" collapsed="false">
      <c r="A9" s="26" t="s">
        <v>183</v>
      </c>
    </row>
    <row r="10" customFormat="false" ht="15" hidden="false" customHeight="true" outlineLevel="0" collapsed="false">
      <c r="A10" s="26" t="s">
        <v>184</v>
      </c>
    </row>
    <row r="11" customFormat="false" ht="15" hidden="false" customHeight="true" outlineLevel="0" collapsed="false">
      <c r="A11" s="26" t="s">
        <v>185</v>
      </c>
    </row>
    <row r="12" customFormat="false" ht="15" hidden="false" customHeight="true" outlineLevel="0" collapsed="false">
      <c r="A12" s="26" t="s">
        <v>186</v>
      </c>
    </row>
    <row r="13" customFormat="false" ht="23.25" hidden="false" customHeight="true" outlineLevel="0" collapsed="false">
      <c r="A13" s="26" t="s">
        <v>187</v>
      </c>
    </row>
    <row r="14" customFormat="false" ht="15" hidden="false" customHeight="true" outlineLevel="0" collapsed="false">
      <c r="A14" s="26" t="s">
        <v>188</v>
      </c>
    </row>
    <row r="15" customFormat="false" ht="15" hidden="false" customHeight="true" outlineLevel="0" collapsed="false">
      <c r="A15" s="26" t="s">
        <v>189</v>
      </c>
    </row>
    <row r="16" customFormat="false" ht="15" hidden="false" customHeight="true" outlineLevel="0" collapsed="false">
      <c r="A16" s="26" t="s">
        <v>190</v>
      </c>
    </row>
    <row r="17" customFormat="false" ht="15" hidden="false" customHeight="true" outlineLevel="0" collapsed="false">
      <c r="A17" s="26" t="s">
        <v>191</v>
      </c>
    </row>
    <row r="18" customFormat="false" ht="15" hidden="false" customHeight="true" outlineLevel="0" collapsed="false">
      <c r="A18" s="26" t="s">
        <v>192</v>
      </c>
    </row>
    <row r="19" customFormat="false" ht="15" hidden="false" customHeight="true" outlineLevel="0" collapsed="false">
      <c r="A19" s="26" t="s">
        <v>193</v>
      </c>
    </row>
    <row r="20" customFormat="false" ht="15" hidden="false" customHeight="true" outlineLevel="0" collapsed="false">
      <c r="A20" s="26" t="s">
        <v>194</v>
      </c>
    </row>
    <row r="21" customFormat="false" ht="15" hidden="false" customHeight="true" outlineLevel="0" collapsed="false">
      <c r="A21" s="26" t="s">
        <v>195</v>
      </c>
    </row>
    <row r="22" customFormat="false" ht="15" hidden="false" customHeight="true" outlineLevel="0" collapsed="false">
      <c r="A22" s="26" t="s">
        <v>196</v>
      </c>
    </row>
    <row r="23" customFormat="false" ht="15" hidden="false" customHeight="true" outlineLevel="0" collapsed="false">
      <c r="A23" s="26" t="s">
        <v>197</v>
      </c>
    </row>
    <row r="24" customFormat="false" ht="15" hidden="false" customHeight="true" outlineLevel="0" collapsed="false">
      <c r="A24" s="26" t="s">
        <v>198</v>
      </c>
    </row>
    <row r="25" customFormat="false" ht="15" hidden="false" customHeight="true" outlineLevel="0" collapsed="false">
      <c r="A25" s="26" t="s">
        <v>199</v>
      </c>
    </row>
    <row r="26" customFormat="false" ht="15" hidden="false" customHeight="true" outlineLevel="0" collapsed="false">
      <c r="A26" s="26" t="s">
        <v>200</v>
      </c>
    </row>
    <row r="27" customFormat="false" ht="15" hidden="false" customHeight="true" outlineLevel="0" collapsed="false">
      <c r="A27" s="26" t="s">
        <v>201</v>
      </c>
    </row>
    <row r="28" customFormat="false" ht="15" hidden="false" customHeight="true" outlineLevel="0" collapsed="false">
      <c r="A28" s="26" t="s">
        <v>202</v>
      </c>
    </row>
    <row r="29" customFormat="false" ht="15" hidden="false" customHeight="true" outlineLevel="0" collapsed="false">
      <c r="A29" s="26"/>
    </row>
    <row r="30" customFormat="false" ht="15" hidden="false" customHeight="true" outlineLevel="0" collapsed="false">
      <c r="A30" s="26" t="s">
        <v>203</v>
      </c>
    </row>
    <row r="31" customFormat="false" ht="15" hidden="false" customHeight="true" outlineLevel="0" collapsed="false">
      <c r="A31" s="26" t="s">
        <v>204</v>
      </c>
    </row>
    <row r="32" customFormat="false" ht="15" hidden="false" customHeight="true" outlineLevel="0" collapsed="false">
      <c r="A32" s="26" t="s">
        <v>205</v>
      </c>
    </row>
    <row r="33" customFormat="false" ht="15" hidden="false" customHeight="true" outlineLevel="0" collapsed="false">
      <c r="A33" s="26" t="s">
        <v>206</v>
      </c>
    </row>
    <row r="34" customFormat="false" ht="15" hidden="false" customHeight="true" outlineLevel="0" collapsed="false">
      <c r="A34" s="26" t="s">
        <v>207</v>
      </c>
    </row>
    <row r="35" customFormat="false" ht="15" hidden="false" customHeight="true" outlineLevel="0" collapsed="false">
      <c r="A35" s="26" t="s">
        <v>208</v>
      </c>
    </row>
    <row r="36" customFormat="false" ht="15" hidden="false" customHeight="true" outlineLevel="0" collapsed="false">
      <c r="A36" s="26" t="s">
        <v>209</v>
      </c>
    </row>
    <row r="37" customFormat="false" ht="15" hidden="false" customHeight="true" outlineLevel="0" collapsed="false">
      <c r="A37" s="26" t="s">
        <v>210</v>
      </c>
    </row>
    <row r="38" customFormat="false" ht="15" hidden="false" customHeight="true" outlineLevel="0" collapsed="false">
      <c r="A38" s="26" t="s">
        <v>211</v>
      </c>
    </row>
    <row r="39" customFormat="false" ht="15" hidden="false" customHeight="true" outlineLevel="0" collapsed="false">
      <c r="A39" s="26" t="s">
        <v>212</v>
      </c>
    </row>
    <row r="40" customFormat="false" ht="15" hidden="false" customHeight="true" outlineLevel="0" collapsed="false">
      <c r="A40" s="26" t="s">
        <v>213</v>
      </c>
    </row>
    <row r="41" customFormat="false" ht="15" hidden="false" customHeight="true" outlineLevel="0" collapsed="false">
      <c r="A41" s="26"/>
    </row>
    <row r="42" customFormat="false" ht="15" hidden="false" customHeight="true" outlineLevel="0" collapsed="false">
      <c r="A42" s="27" t="s">
        <v>214</v>
      </c>
    </row>
    <row r="43" customFormat="false" ht="15" hidden="false" customHeight="true" outlineLevel="0" collapsed="false">
      <c r="A43" s="26" t="s">
        <v>215</v>
      </c>
    </row>
    <row r="44" customFormat="false" ht="15" hidden="false" customHeight="true" outlineLevel="0" collapsed="false">
      <c r="A44" s="26" t="s">
        <v>216</v>
      </c>
    </row>
    <row r="45" customFormat="false" ht="15" hidden="false" customHeight="true" outlineLevel="0" collapsed="false">
      <c r="A45" s="26" t="s">
        <v>217</v>
      </c>
    </row>
    <row r="46" customFormat="false" ht="15" hidden="false" customHeight="true" outlineLevel="0" collapsed="false">
      <c r="A46" s="26" t="s">
        <v>218</v>
      </c>
    </row>
    <row r="47" customFormat="false" ht="15" hidden="false" customHeight="true" outlineLevel="0" collapsed="false">
      <c r="A47" s="26" t="s">
        <v>219</v>
      </c>
    </row>
    <row r="48" customFormat="false" ht="15" hidden="false" customHeight="true" outlineLevel="0" collapsed="false">
      <c r="A48" s="26" t="s">
        <v>220</v>
      </c>
    </row>
    <row r="49" customFormat="false" ht="15" hidden="false" customHeight="true" outlineLevel="0" collapsed="false">
      <c r="A49" s="26" t="s">
        <v>221</v>
      </c>
    </row>
    <row r="50" customFormat="false" ht="15" hidden="false" customHeight="true" outlineLevel="0" collapsed="false">
      <c r="A50" s="26" t="s">
        <v>222</v>
      </c>
    </row>
    <row r="51" customFormat="false" ht="15" hidden="false" customHeight="true" outlineLevel="0" collapsed="false">
      <c r="A51" s="26" t="s">
        <v>223</v>
      </c>
    </row>
    <row r="52" customFormat="false" ht="15" hidden="false" customHeight="true" outlineLevel="0" collapsed="false">
      <c r="A52" s="26" t="s">
        <v>224</v>
      </c>
    </row>
    <row r="53" customFormat="false" ht="15" hidden="false" customHeight="true" outlineLevel="0" collapsed="false">
      <c r="A53" s="26" t="s">
        <v>225</v>
      </c>
    </row>
    <row r="54" customFormat="false" ht="15" hidden="false" customHeight="true" outlineLevel="0" collapsed="false">
      <c r="A54" s="26"/>
    </row>
    <row r="55" customFormat="false" ht="15" hidden="false" customHeight="true" outlineLevel="0" collapsed="false">
      <c r="A55" s="26" t="s">
        <v>226</v>
      </c>
    </row>
    <row r="56" customFormat="false" ht="15" hidden="false" customHeight="true" outlineLevel="0" collapsed="false">
      <c r="A56" s="26" t="s">
        <v>227</v>
      </c>
    </row>
    <row r="57" customFormat="false" ht="15" hidden="false" customHeight="true" outlineLevel="0" collapsed="false">
      <c r="A57" s="26" t="s">
        <v>228</v>
      </c>
    </row>
    <row r="58" customFormat="false" ht="15" hidden="false" customHeight="true" outlineLevel="0" collapsed="false">
      <c r="A58" s="26" t="s">
        <v>229</v>
      </c>
    </row>
    <row r="59" customFormat="false" ht="15" hidden="false" customHeight="true" outlineLevel="0" collapsed="false">
      <c r="A59" s="26" t="s">
        <v>230</v>
      </c>
    </row>
    <row r="60" customFormat="false" ht="15" hidden="false" customHeight="true" outlineLevel="0" collapsed="false">
      <c r="A60" s="26"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3"/>
    <col collapsed="false" customWidth="true" hidden="false" outlineLevel="0" max="4" min="4" style="1" width="46"/>
    <col collapsed="false" customWidth="true" hidden="false" outlineLevel="0" max="5" min="5" style="1" width="16"/>
    <col collapsed="false" customWidth="true" hidden="false" outlineLevel="0" max="6" min="6" style="0" width="42"/>
  </cols>
  <sheetData>
    <row r="1" customFormat="false" ht="21.75" hidden="false" customHeight="true" outlineLevel="0" collapsed="false">
      <c r="A1" s="2" t="s">
        <v>232</v>
      </c>
      <c r="B1" s="2"/>
      <c r="C1" s="2"/>
      <c r="D1" s="2"/>
      <c r="E1" s="2"/>
    </row>
    <row r="2" customFormat="false" ht="27.75" hidden="false" customHeight="true" outlineLevel="0" collapsed="false">
      <c r="A2" s="24" t="s">
        <v>233</v>
      </c>
      <c r="B2" s="24"/>
      <c r="C2" s="24"/>
      <c r="D2" s="24"/>
      <c r="E2" s="24"/>
    </row>
    <row r="4" customFormat="false" ht="15" hidden="false" customHeight="true" outlineLevel="0" collapsed="false">
      <c r="A4" s="4" t="s">
        <v>234</v>
      </c>
      <c r="B4" s="4"/>
      <c r="D4" s="4" t="s">
        <v>235</v>
      </c>
      <c r="E4" s="4"/>
    </row>
    <row r="5" customFormat="false" ht="15" hidden="false" customHeight="true" outlineLevel="0" collapsed="false">
      <c r="A5" s="11" t="s">
        <v>236</v>
      </c>
      <c r="D5" s="11" t="s">
        <v>237</v>
      </c>
    </row>
    <row r="6" customFormat="false" ht="15" hidden="false" customHeight="true" outlineLevel="0" collapsed="false">
      <c r="A6" s="5" t="s">
        <v>238</v>
      </c>
      <c r="B6" s="6" t="n">
        <v>400</v>
      </c>
      <c r="D6" s="5" t="s">
        <v>239</v>
      </c>
      <c r="E6" s="6" t="n">
        <v>5500</v>
      </c>
    </row>
    <row r="7" customFormat="false" ht="15" hidden="false" customHeight="true" outlineLevel="0" collapsed="false">
      <c r="A7" s="5" t="s">
        <v>240</v>
      </c>
      <c r="B7" s="7" t="n">
        <v>0.2607</v>
      </c>
      <c r="D7" s="5" t="s">
        <v>241</v>
      </c>
      <c r="E7" s="6" t="n">
        <v>3200</v>
      </c>
    </row>
    <row r="8" customFormat="false" ht="15" hidden="false" customHeight="true" outlineLevel="0" collapsed="false">
      <c r="A8" s="5" t="s">
        <v>242</v>
      </c>
      <c r="B8" s="7" t="n">
        <v>0.78</v>
      </c>
    </row>
    <row r="9" customFormat="false" ht="15" hidden="false" customHeight="true" outlineLevel="0" collapsed="false">
      <c r="A9" s="5" t="s">
        <v>243</v>
      </c>
      <c r="B9" s="28" t="s">
        <v>244</v>
      </c>
    </row>
    <row r="11" customFormat="false" ht="15" hidden="false" customHeight="true" outlineLevel="0" collapsed="false">
      <c r="A11" s="11" t="s">
        <v>245</v>
      </c>
      <c r="D11" s="11" t="s">
        <v>246</v>
      </c>
    </row>
    <row r="12" customFormat="false" ht="15" hidden="false" customHeight="true" outlineLevel="0" collapsed="false">
      <c r="A12" s="5" t="s">
        <v>247</v>
      </c>
      <c r="B12" s="6" t="n">
        <v>2500</v>
      </c>
      <c r="D12" s="5" t="s">
        <v>248</v>
      </c>
      <c r="E12" s="6" t="n">
        <v>35000</v>
      </c>
    </row>
    <row r="13" customFormat="false" ht="15" hidden="false" customHeight="true" outlineLevel="0" collapsed="false">
      <c r="A13" s="5" t="s">
        <v>249</v>
      </c>
      <c r="B13" s="6" t="n">
        <v>10000</v>
      </c>
      <c r="D13" s="5" t="s">
        <v>250</v>
      </c>
      <c r="E13" s="6" t="n">
        <v>15000</v>
      </c>
    </row>
    <row r="14" customFormat="false" ht="15" hidden="false" customHeight="true" outlineLevel="0" collapsed="false">
      <c r="A14" s="5" t="s">
        <v>251</v>
      </c>
      <c r="B14" s="7" t="n">
        <v>0.279</v>
      </c>
      <c r="D14" s="5" t="s">
        <v>252</v>
      </c>
      <c r="E14" s="7" t="n">
        <v>0.09</v>
      </c>
    </row>
    <row r="15" customFormat="false" ht="15" hidden="false" customHeight="true" outlineLevel="0" collapsed="false">
      <c r="A15" s="5" t="s">
        <v>253</v>
      </c>
      <c r="B15" s="7" t="n">
        <v>0.26</v>
      </c>
      <c r="D15" s="5" t="s">
        <v>254</v>
      </c>
      <c r="E15" s="7" t="n">
        <v>0</v>
      </c>
    </row>
    <row r="17" customFormat="false" ht="15" hidden="false" customHeight="true" outlineLevel="0" collapsed="false">
      <c r="A17" s="4" t="s">
        <v>255</v>
      </c>
      <c r="B17" s="4"/>
      <c r="C17" s="4"/>
      <c r="D17" s="4"/>
      <c r="E17" s="4"/>
    </row>
    <row r="18" customFormat="false" ht="15" hidden="false" customHeight="true" outlineLevel="0" collapsed="false">
      <c r="A18" s="5" t="s">
        <v>256</v>
      </c>
      <c r="B18" s="21" t="n">
        <f aca="false">'Piano Mensile'!C55+'Piano Mensile'!D55+'Piano Mensile'!E55+'Piano Mensile'!F55+'Piano Mensile'!G55+'Piano Mensile'!H55+'Piano Mensile'!I55+'Piano Mensile'!J55+'Piano Mensile'!K55+'Piano Mensile'!L55+'Piano Mensile'!M55+'Piano Mensile'!N55</f>
        <v>16266.5272364586</v>
      </c>
      <c r="D18" s="5" t="s">
        <v>257</v>
      </c>
      <c r="E18" s="21" t="n">
        <f aca="false">'Piano Mensile'!O55+'Piano Mensile'!P55+'Piano Mensile'!Q55+'Piano Mensile'!R55+'Piano Mensile'!S55+'Piano Mensile'!T55+'Piano Mensile'!U55+'Piano Mensile'!V55+'Piano Mensile'!W55+'Piano Mensile'!X55+'Piano Mensile'!Y55+'Piano Mensile'!Z55</f>
        <v>147300.445678684</v>
      </c>
    </row>
    <row r="19" customFormat="false" ht="15" hidden="false" customHeight="true" outlineLevel="0" collapsed="false">
      <c r="A19" s="5" t="s">
        <v>258</v>
      </c>
      <c r="B19" s="21" t="n">
        <f aca="false">'Piano Mensile'!C57+'Piano Mensile'!D57+'Piano Mensile'!E57+'Piano Mensile'!F57+'Piano Mensile'!G57+'Piano Mensile'!H57+'Piano Mensile'!I57+'Piano Mensile'!J57+'Piano Mensile'!K57+'Piano Mensile'!L57+'Piano Mensile'!M57+'Piano Mensile'!N57</f>
        <v>5808.82524905145</v>
      </c>
      <c r="D19" s="5" t="s">
        <v>259</v>
      </c>
      <c r="E19" s="21" t="n">
        <f aca="false">'Piano Mensile'!O57+'Piano Mensile'!P57+'Piano Mensile'!Q57+'Piano Mensile'!R57+'Piano Mensile'!S57+'Piano Mensile'!T57+'Piano Mensile'!U57+'Piano Mensile'!V57+'Piano Mensile'!W57+'Piano Mensile'!X57+'Piano Mensile'!Y57+'Piano Mensile'!Z57</f>
        <v>88266.3206484938</v>
      </c>
    </row>
    <row r="21" customFormat="false" ht="15" hidden="false" customHeight="true" outlineLevel="0" collapsed="false">
      <c r="A21" s="29" t="s">
        <v>260</v>
      </c>
      <c r="B21" s="29"/>
      <c r="D21" s="29" t="s">
        <v>261</v>
      </c>
      <c r="E21" s="29"/>
    </row>
    <row r="22" customFormat="false" ht="15" hidden="false" customHeight="true" outlineLevel="0" collapsed="false">
      <c r="A22" s="5" t="s">
        <v>262</v>
      </c>
      <c r="B22" s="21" t="n">
        <f aca="false">B18*B8</f>
        <v>12687.8912444377</v>
      </c>
      <c r="D22" s="5" t="s">
        <v>263</v>
      </c>
      <c r="E22" s="21" t="n">
        <v>92500</v>
      </c>
    </row>
    <row r="23" customFormat="false" ht="15" hidden="false" customHeight="true" outlineLevel="0" collapsed="false">
      <c r="A23" s="5" t="s">
        <v>264</v>
      </c>
      <c r="B23" s="21" t="n">
        <f aca="false">B22*0.05</f>
        <v>634.394562221887</v>
      </c>
      <c r="D23" s="5" t="s">
        <v>265</v>
      </c>
      <c r="E23" s="21" t="n">
        <f aca="false">IF(B19&gt;E22,(B19-E22)*E8,0)</f>
        <v>0</v>
      </c>
    </row>
    <row r="24" customFormat="false" ht="15" hidden="false" customHeight="true" outlineLevel="0" collapsed="false">
      <c r="A24" s="5" t="s">
        <v>266</v>
      </c>
      <c r="B24" s="21" t="n">
        <f aca="false">B22*B7</f>
        <v>3307.73324742492</v>
      </c>
      <c r="D24" s="5" t="s">
        <v>267</v>
      </c>
      <c r="E24" s="21" t="n">
        <f aca="false">IF(E19&gt;E22,(E19-E22)*E8,0)</f>
        <v>0</v>
      </c>
    </row>
    <row r="25" customFormat="false" ht="15" hidden="false" customHeight="true" outlineLevel="0" collapsed="false">
      <c r="A25" s="5" t="s">
        <v>268</v>
      </c>
      <c r="B25" s="21" t="n">
        <f aca="false">B19-B23-B24</f>
        <v>1866.69743940465</v>
      </c>
      <c r="D25" s="5" t="s">
        <v>269</v>
      </c>
      <c r="E25" s="21" t="n">
        <f aca="false">B19+E19-E23-E24</f>
        <v>94075.1458975452</v>
      </c>
      <c r="F25" s="30" t="s">
        <v>270</v>
      </c>
    </row>
    <row r="26" customFormat="false" ht="39.75" hidden="false" customHeight="true" outlineLevel="0" collapsed="false">
      <c r="A26" s="24" t="s">
        <v>271</v>
      </c>
      <c r="B26" s="24"/>
    </row>
    <row r="29" customFormat="false" ht="15" hidden="false" customHeight="true" outlineLevel="0" collapsed="false">
      <c r="A29" s="4" t="s">
        <v>272</v>
      </c>
      <c r="B29" s="4"/>
      <c r="C29" s="4"/>
      <c r="D29" s="4"/>
      <c r="E29" s="4"/>
    </row>
    <row r="30" customFormat="false" ht="42" hidden="false" customHeight="true" outlineLevel="0" collapsed="false">
      <c r="A30" s="24" t="s">
        <v>273</v>
      </c>
      <c r="B30" s="24"/>
      <c r="C30" s="24"/>
      <c r="D30" s="24"/>
      <c r="E30" s="24"/>
    </row>
    <row r="31" customFormat="false" ht="42" hidden="false" customHeight="true" outlineLevel="0" collapsed="false">
      <c r="A31" s="24" t="s">
        <v>274</v>
      </c>
      <c r="B31" s="24"/>
      <c r="C31" s="24"/>
      <c r="D31" s="24"/>
      <c r="E31" s="24"/>
    </row>
    <row r="32" customFormat="false" ht="67.5" hidden="false" customHeight="true" outlineLevel="0" collapsed="false">
      <c r="A32" s="24" t="s">
        <v>275</v>
      </c>
      <c r="B32" s="24"/>
      <c r="C32" s="24"/>
      <c r="D32" s="24"/>
      <c r="E32" s="24"/>
    </row>
    <row r="33" customFormat="false" ht="54.75" hidden="false" customHeight="true" outlineLevel="0" collapsed="false">
      <c r="A33" s="24" t="s">
        <v>276</v>
      </c>
      <c r="B33" s="24"/>
      <c r="C33" s="24"/>
      <c r="D33" s="24"/>
      <c r="E33" s="24"/>
    </row>
    <row r="34" customFormat="false" ht="42" hidden="false" customHeight="true" outlineLevel="0" collapsed="false">
      <c r="A34" s="24" t="s">
        <v>277</v>
      </c>
      <c r="B34" s="24"/>
      <c r="C34" s="24"/>
      <c r="D34" s="24"/>
      <c r="E34" s="24"/>
    </row>
  </sheetData>
  <mergeCells count="14">
    <mergeCell ref="A1:E1"/>
    <mergeCell ref="A2:E2"/>
    <mergeCell ref="A4:B4"/>
    <mergeCell ref="D4:E4"/>
    <mergeCell ref="A17:E17"/>
    <mergeCell ref="A21:B21"/>
    <mergeCell ref="D21:E21"/>
    <mergeCell ref="A26:B26"/>
    <mergeCell ref="A29:E29"/>
    <mergeCell ref="A30:E30"/>
    <mergeCell ref="A31:E31"/>
    <mergeCell ref="A32:E32"/>
    <mergeCell ref="A33:E33"/>
    <mergeCell ref="A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2026-08-17T12:07:56Z</dcterms:created>
  <dc:creator>openpyxl</dc:creator>
  <dc:description/>
  <dc:language>en-US</dc:language>
  <cp:lastModifiedBy/>
  <dcterms:modified xsi:type="dcterms:W3CDTF">2026-09-09T08:30:52Z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